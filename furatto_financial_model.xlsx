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条件" sheetId="2" state="visible" r:id="rId2"/>
    <sheet xmlns:r="http://schemas.openxmlformats.org/officeDocument/2006/relationships" name="月次_悲観" sheetId="3" state="visible" r:id="rId3"/>
    <sheet xmlns:r="http://schemas.openxmlformats.org/officeDocument/2006/relationships" name="月次_標準" sheetId="4" state="visible" r:id="rId4"/>
    <sheet xmlns:r="http://schemas.openxmlformats.org/officeDocument/2006/relationships" name="月次_楽観" sheetId="5" state="visible" r:id="rId5"/>
    <sheet xmlns:r="http://schemas.openxmlformats.org/officeDocument/2006/relationships" name="感度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" fontId="2" fillId="2" borderId="0" pivotButton="0" quotePrefix="0" xfId="0"/>
    <xf numFmtId="1" fontId="0" fillId="0" borderId="0" pivotButton="0" quotePrefix="0" xfId="0"/>
    <xf numFmtId="165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ふらっと 収支計画サマリー(単位:万円)</t>
        </is>
      </c>
    </row>
    <row r="2">
      <c r="A2" t="inlineStr">
        <is>
          <t>前提を変えるには「前提条件」シートの青字を編集してください。税・資金調達の返済・減価償却は未考慮。</t>
        </is>
      </c>
    </row>
    <row r="4">
      <c r="A4" s="2" t="inlineStr">
        <is>
          <t>■ 悲観シナリオ</t>
        </is>
      </c>
    </row>
    <row r="5">
      <c r="A5" s="3" t="inlineStr"/>
      <c r="B5" s="3" t="inlineStr">
        <is>
          <t>1年目</t>
        </is>
      </c>
      <c r="C5" s="3" t="inlineStr">
        <is>
          <t>2年目</t>
        </is>
      </c>
      <c r="D5" s="3" t="inlineStr">
        <is>
          <t>3年目</t>
        </is>
      </c>
      <c r="E5" s="3" t="inlineStr">
        <is>
          <t>4年目</t>
        </is>
      </c>
      <c r="F5" s="3" t="inlineStr">
        <is>
          <t>5年目</t>
        </is>
      </c>
    </row>
    <row r="6">
      <c r="A6" t="inlineStr">
        <is>
          <t>売上</t>
        </is>
      </c>
      <c r="B6" s="4">
        <f>SUM('月次_悲観'!C13:N13)</f>
        <v/>
      </c>
      <c r="C6" s="4">
        <f>SUM('月次_悲観'!O13:Z13)</f>
        <v/>
      </c>
      <c r="D6" s="4">
        <f>SUM('月次_悲観'!AA13:AL13)</f>
        <v/>
      </c>
      <c r="E6" s="4">
        <f>SUM('月次_悲観'!AM13:AX13)</f>
        <v/>
      </c>
      <c r="F6" s="4">
        <f>SUM('月次_悲観'!AY13:BJ13)</f>
        <v/>
      </c>
    </row>
    <row r="7">
      <c r="A7" t="inlineStr">
        <is>
          <t>費用</t>
        </is>
      </c>
      <c r="B7" s="4">
        <f>SUM('月次_悲観'!C25:N25)</f>
        <v/>
      </c>
      <c r="C7" s="4">
        <f>SUM('月次_悲観'!O25:Z25)</f>
        <v/>
      </c>
      <c r="D7" s="4">
        <f>SUM('月次_悲観'!AA25:AL25)</f>
        <v/>
      </c>
      <c r="E7" s="4">
        <f>SUM('月次_悲観'!AM25:AX25)</f>
        <v/>
      </c>
      <c r="F7" s="4">
        <f>SUM('月次_悲観'!AY25:BJ25)</f>
        <v/>
      </c>
    </row>
    <row r="8">
      <c r="A8" t="inlineStr">
        <is>
          <t>営業利益</t>
        </is>
      </c>
      <c r="B8" s="4">
        <f>SUM('月次_悲観'!C26:N26)</f>
        <v/>
      </c>
      <c r="C8" s="4">
        <f>SUM('月次_悲観'!O26:Z26)</f>
        <v/>
      </c>
      <c r="D8" s="4">
        <f>SUM('月次_悲観'!AA26:AL26)</f>
        <v/>
      </c>
      <c r="E8" s="4">
        <f>SUM('月次_悲観'!AM26:AX26)</f>
        <v/>
      </c>
      <c r="F8" s="4">
        <f>SUM('月次_悲観'!AY26:BJ26)</f>
        <v/>
      </c>
    </row>
    <row r="9">
      <c r="A9" t="inlineStr">
        <is>
          <t>年度末 有料店舗数</t>
        </is>
      </c>
      <c r="B9" s="4">
        <f>'月次_悲観'!N8</f>
        <v/>
      </c>
      <c r="C9" s="4">
        <f>'月次_悲観'!Z8</f>
        <v/>
      </c>
      <c r="D9" s="4">
        <f>'月次_悲観'!AL8</f>
        <v/>
      </c>
      <c r="E9" s="4">
        <f>'月次_悲観'!AX8</f>
        <v/>
      </c>
      <c r="F9" s="4">
        <f>'月次_悲観'!BJ8</f>
        <v/>
      </c>
    </row>
    <row r="10">
      <c r="A10" t="inlineStr">
        <is>
          <t>年度末 累計損益(初期投資込)</t>
        </is>
      </c>
      <c r="B10" s="4">
        <f>'月次_悲観'!N27</f>
        <v/>
      </c>
      <c r="C10" s="4">
        <f>'月次_悲観'!Z27</f>
        <v/>
      </c>
      <c r="D10" s="4">
        <f>'月次_悲観'!AL27</f>
        <v/>
      </c>
      <c r="E10" s="4">
        <f>'月次_悲観'!AX27</f>
        <v/>
      </c>
      <c r="F10" s="4">
        <f>'月次_悲観'!BJ27</f>
        <v/>
      </c>
    </row>
    <row r="11">
      <c r="A11" t="inlineStr">
        <is>
          <t>月次黒字化の月</t>
        </is>
      </c>
      <c r="B11">
        <f>IFERROR(INDEX('月次_悲観'!C3:BJ3,MATCH(TRUE,INDEX('月次_悲観'!C26:BJ26&gt;0,0),0)),"60か月以内に未達")</f>
        <v/>
      </c>
    </row>
    <row r="12">
      <c r="A12" t="inlineStr">
        <is>
          <t>累計黒字化(投資回収)の月</t>
        </is>
      </c>
      <c r="B12">
        <f>IFERROR(INDEX('月次_悲観'!C3:BJ3,MATCH(TRUE,INDEX('月次_悲観'!C27:BJ27&gt;0,0),0)),"60か月以内に未達")</f>
        <v/>
      </c>
    </row>
    <row r="13">
      <c r="A13" s="5" t="inlineStr">
        <is>
          <t>必要資金(累計赤字の最大値)</t>
        </is>
      </c>
      <c r="B13" s="6">
        <f>-MIN('月次_悲観'!C27:BJ27)</f>
        <v/>
      </c>
    </row>
    <row r="15">
      <c r="A15" s="2" t="inlineStr">
        <is>
          <t>■ 標準シナリオ</t>
        </is>
      </c>
    </row>
    <row r="16">
      <c r="A16" s="3" t="inlineStr"/>
      <c r="B16" s="3" t="inlineStr">
        <is>
          <t>1年目</t>
        </is>
      </c>
      <c r="C16" s="3" t="inlineStr">
        <is>
          <t>2年目</t>
        </is>
      </c>
      <c r="D16" s="3" t="inlineStr">
        <is>
          <t>3年目</t>
        </is>
      </c>
      <c r="E16" s="3" t="inlineStr">
        <is>
          <t>4年目</t>
        </is>
      </c>
      <c r="F16" s="3" t="inlineStr">
        <is>
          <t>5年目</t>
        </is>
      </c>
    </row>
    <row r="17">
      <c r="A17" t="inlineStr">
        <is>
          <t>売上</t>
        </is>
      </c>
      <c r="B17" s="4">
        <f>SUM('月次_標準'!C13:N13)</f>
        <v/>
      </c>
      <c r="C17" s="4">
        <f>SUM('月次_標準'!O13:Z13)</f>
        <v/>
      </c>
      <c r="D17" s="4">
        <f>SUM('月次_標準'!AA13:AL13)</f>
        <v/>
      </c>
      <c r="E17" s="4">
        <f>SUM('月次_標準'!AM13:AX13)</f>
        <v/>
      </c>
      <c r="F17" s="4">
        <f>SUM('月次_標準'!AY13:BJ13)</f>
        <v/>
      </c>
    </row>
    <row r="18">
      <c r="A18" t="inlineStr">
        <is>
          <t>費用</t>
        </is>
      </c>
      <c r="B18" s="4">
        <f>SUM('月次_標準'!C25:N25)</f>
        <v/>
      </c>
      <c r="C18" s="4">
        <f>SUM('月次_標準'!O25:Z25)</f>
        <v/>
      </c>
      <c r="D18" s="4">
        <f>SUM('月次_標準'!AA25:AL25)</f>
        <v/>
      </c>
      <c r="E18" s="4">
        <f>SUM('月次_標準'!AM25:AX25)</f>
        <v/>
      </c>
      <c r="F18" s="4">
        <f>SUM('月次_標準'!AY25:BJ25)</f>
        <v/>
      </c>
    </row>
    <row r="19">
      <c r="A19" t="inlineStr">
        <is>
          <t>営業利益</t>
        </is>
      </c>
      <c r="B19" s="4">
        <f>SUM('月次_標準'!C26:N26)</f>
        <v/>
      </c>
      <c r="C19" s="4">
        <f>SUM('月次_標準'!O26:Z26)</f>
        <v/>
      </c>
      <c r="D19" s="4">
        <f>SUM('月次_標準'!AA26:AL26)</f>
        <v/>
      </c>
      <c r="E19" s="4">
        <f>SUM('月次_標準'!AM26:AX26)</f>
        <v/>
      </c>
      <c r="F19" s="4">
        <f>SUM('月次_標準'!AY26:BJ26)</f>
        <v/>
      </c>
    </row>
    <row r="20">
      <c r="A20" t="inlineStr">
        <is>
          <t>年度末 有料店舗数</t>
        </is>
      </c>
      <c r="B20" s="4">
        <f>'月次_標準'!N8</f>
        <v/>
      </c>
      <c r="C20" s="4">
        <f>'月次_標準'!Z8</f>
        <v/>
      </c>
      <c r="D20" s="4">
        <f>'月次_標準'!AL8</f>
        <v/>
      </c>
      <c r="E20" s="4">
        <f>'月次_標準'!AX8</f>
        <v/>
      </c>
      <c r="F20" s="4">
        <f>'月次_標準'!BJ8</f>
        <v/>
      </c>
    </row>
    <row r="21">
      <c r="A21" t="inlineStr">
        <is>
          <t>年度末 累計損益(初期投資込)</t>
        </is>
      </c>
      <c r="B21" s="4">
        <f>'月次_標準'!N27</f>
        <v/>
      </c>
      <c r="C21" s="4">
        <f>'月次_標準'!Z27</f>
        <v/>
      </c>
      <c r="D21" s="4">
        <f>'月次_標準'!AL27</f>
        <v/>
      </c>
      <c r="E21" s="4">
        <f>'月次_標準'!AX27</f>
        <v/>
      </c>
      <c r="F21" s="4">
        <f>'月次_標準'!BJ27</f>
        <v/>
      </c>
    </row>
    <row r="22">
      <c r="A22" t="inlineStr">
        <is>
          <t>月次黒字化の月</t>
        </is>
      </c>
      <c r="B22">
        <f>IFERROR(INDEX('月次_標準'!C3:BJ3,MATCH(TRUE,INDEX('月次_標準'!C26:BJ26&gt;0,0),0)),"60か月以内に未達")</f>
        <v/>
      </c>
    </row>
    <row r="23">
      <c r="A23" t="inlineStr">
        <is>
          <t>累計黒字化(投資回収)の月</t>
        </is>
      </c>
      <c r="B23">
        <f>IFERROR(INDEX('月次_標準'!C3:BJ3,MATCH(TRUE,INDEX('月次_標準'!C27:BJ27&gt;0,0),0)),"60か月以内に未達")</f>
        <v/>
      </c>
    </row>
    <row r="24">
      <c r="A24" s="5" t="inlineStr">
        <is>
          <t>必要資金(累計赤字の最大値)</t>
        </is>
      </c>
      <c r="B24" s="6">
        <f>-MIN('月次_標準'!C27:BJ27)</f>
        <v/>
      </c>
    </row>
    <row r="26">
      <c r="A26" s="2" t="inlineStr">
        <is>
          <t>■ 楽観シナリオ</t>
        </is>
      </c>
    </row>
    <row r="27">
      <c r="A27" s="3" t="inlineStr"/>
      <c r="B27" s="3" t="inlineStr">
        <is>
          <t>1年目</t>
        </is>
      </c>
      <c r="C27" s="3" t="inlineStr">
        <is>
          <t>2年目</t>
        </is>
      </c>
      <c r="D27" s="3" t="inlineStr">
        <is>
          <t>3年目</t>
        </is>
      </c>
      <c r="E27" s="3" t="inlineStr">
        <is>
          <t>4年目</t>
        </is>
      </c>
      <c r="F27" s="3" t="inlineStr">
        <is>
          <t>5年目</t>
        </is>
      </c>
    </row>
    <row r="28">
      <c r="A28" t="inlineStr">
        <is>
          <t>売上</t>
        </is>
      </c>
      <c r="B28" s="4">
        <f>SUM('月次_楽観'!C13:N13)</f>
        <v/>
      </c>
      <c r="C28" s="4">
        <f>SUM('月次_楽観'!O13:Z13)</f>
        <v/>
      </c>
      <c r="D28" s="4">
        <f>SUM('月次_楽観'!AA13:AL13)</f>
        <v/>
      </c>
      <c r="E28" s="4">
        <f>SUM('月次_楽観'!AM13:AX13)</f>
        <v/>
      </c>
      <c r="F28" s="4">
        <f>SUM('月次_楽観'!AY13:BJ13)</f>
        <v/>
      </c>
    </row>
    <row r="29">
      <c r="A29" t="inlineStr">
        <is>
          <t>費用</t>
        </is>
      </c>
      <c r="B29" s="4">
        <f>SUM('月次_楽観'!C25:N25)</f>
        <v/>
      </c>
      <c r="C29" s="4">
        <f>SUM('月次_楽観'!O25:Z25)</f>
        <v/>
      </c>
      <c r="D29" s="4">
        <f>SUM('月次_楽観'!AA25:AL25)</f>
        <v/>
      </c>
      <c r="E29" s="4">
        <f>SUM('月次_楽観'!AM25:AX25)</f>
        <v/>
      </c>
      <c r="F29" s="4">
        <f>SUM('月次_楽観'!AY25:BJ25)</f>
        <v/>
      </c>
    </row>
    <row r="30">
      <c r="A30" t="inlineStr">
        <is>
          <t>営業利益</t>
        </is>
      </c>
      <c r="B30" s="4">
        <f>SUM('月次_楽観'!C26:N26)</f>
        <v/>
      </c>
      <c r="C30" s="4">
        <f>SUM('月次_楽観'!O26:Z26)</f>
        <v/>
      </c>
      <c r="D30" s="4">
        <f>SUM('月次_楽観'!AA26:AL26)</f>
        <v/>
      </c>
      <c r="E30" s="4">
        <f>SUM('月次_楽観'!AM26:AX26)</f>
        <v/>
      </c>
      <c r="F30" s="4">
        <f>SUM('月次_楽観'!AY26:BJ26)</f>
        <v/>
      </c>
    </row>
    <row r="31">
      <c r="A31" t="inlineStr">
        <is>
          <t>年度末 有料店舗数</t>
        </is>
      </c>
      <c r="B31" s="4">
        <f>'月次_楽観'!N8</f>
        <v/>
      </c>
      <c r="C31" s="4">
        <f>'月次_楽観'!Z8</f>
        <v/>
      </c>
      <c r="D31" s="4">
        <f>'月次_楽観'!AL8</f>
        <v/>
      </c>
      <c r="E31" s="4">
        <f>'月次_楽観'!AX8</f>
        <v/>
      </c>
      <c r="F31" s="4">
        <f>'月次_楽観'!BJ8</f>
        <v/>
      </c>
    </row>
    <row r="32">
      <c r="A32" t="inlineStr">
        <is>
          <t>年度末 累計損益(初期投資込)</t>
        </is>
      </c>
      <c r="B32" s="4">
        <f>'月次_楽観'!N27</f>
        <v/>
      </c>
      <c r="C32" s="4">
        <f>'月次_楽観'!Z27</f>
        <v/>
      </c>
      <c r="D32" s="4">
        <f>'月次_楽観'!AL27</f>
        <v/>
      </c>
      <c r="E32" s="4">
        <f>'月次_楽観'!AX27</f>
        <v/>
      </c>
      <c r="F32" s="4">
        <f>'月次_楽観'!BJ27</f>
        <v/>
      </c>
    </row>
    <row r="33">
      <c r="A33" t="inlineStr">
        <is>
          <t>月次黒字化の月</t>
        </is>
      </c>
      <c r="B33">
        <f>IFERROR(INDEX('月次_楽観'!C3:BJ3,MATCH(TRUE,INDEX('月次_楽観'!C26:BJ26&gt;0,0),0)),"60か月以内に未達")</f>
        <v/>
      </c>
    </row>
    <row r="34">
      <c r="A34" t="inlineStr">
        <is>
          <t>累計黒字化(投資回収)の月</t>
        </is>
      </c>
      <c r="B34">
        <f>IFERROR(INDEX('月次_楽観'!C3:BJ3,MATCH(TRUE,INDEX('月次_楽観'!C27:BJ27&gt;0,0),0)),"60か月以内に未達")</f>
        <v/>
      </c>
    </row>
    <row r="35">
      <c r="A35" s="5" t="inlineStr">
        <is>
          <t>必要資金(累計赤字の最大値)</t>
        </is>
      </c>
      <c r="B35" s="6">
        <f>-MIN('月次_楽観'!C27:BJ27)</f>
        <v/>
      </c>
    </row>
    <row r="37">
      <c r="A37" s="2" t="inlineStr">
        <is>
          <t>■ 参考:元の事業計画(資料)</t>
        </is>
      </c>
    </row>
    <row r="38">
      <c r="A38" s="3" t="inlineStr"/>
      <c r="B38" s="3" t="inlineStr">
        <is>
          <t>1年目</t>
        </is>
      </c>
      <c r="C38" s="3" t="inlineStr">
        <is>
          <t>2年目</t>
        </is>
      </c>
      <c r="D38" s="3" t="inlineStr">
        <is>
          <t>3年目</t>
        </is>
      </c>
    </row>
    <row r="39">
      <c r="A39" t="inlineStr">
        <is>
          <t>資料の売上</t>
        </is>
      </c>
      <c r="B39" s="4" t="n">
        <v>17820</v>
      </c>
      <c r="C39" s="4" t="n">
        <v>63000</v>
      </c>
      <c r="D39" s="4" t="n">
        <v>126000</v>
      </c>
    </row>
    <row r="40">
      <c r="A40" t="inlineStr">
        <is>
          <t>資料の条件で正しく計算した売上</t>
        </is>
      </c>
      <c r="B40" s="4" t="n">
        <v>9720</v>
      </c>
      <c r="C40" s="4" t="n">
        <v>36000</v>
      </c>
      <c r="D40" s="4" t="n">
        <v>72000</v>
      </c>
    </row>
    <row r="41">
      <c r="A41" t="inlineStr">
        <is>
          <t>資料の営業利益</t>
        </is>
      </c>
      <c r="B41" s="4" t="n">
        <v>14140</v>
      </c>
      <c r="C41" s="4" t="n">
        <v>51340</v>
      </c>
      <c r="D41" s="4" t="n">
        <v>102680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>
      <c r="A1" s="7" t="inlineStr">
        <is>
          <t>ふらっと 収支計画 前提条件(単位:万円。青字=入力値、変更すると全シートに反映)</t>
        </is>
      </c>
    </row>
    <row r="3">
      <c r="A3" s="3" t="inlineStr">
        <is>
          <t>項目</t>
        </is>
      </c>
      <c r="B3" s="3" t="inlineStr">
        <is>
          <t>単位</t>
        </is>
      </c>
      <c r="C3" s="3" t="inlineStr">
        <is>
          <t>悲観</t>
        </is>
      </c>
      <c r="D3" s="3" t="inlineStr">
        <is>
          <t>標準</t>
        </is>
      </c>
      <c r="E3" s="3" t="inlineStr">
        <is>
          <t>楽観</t>
        </is>
      </c>
      <c r="F3" s="3" t="inlineStr">
        <is>
          <t>メモ</t>
        </is>
      </c>
    </row>
    <row r="4">
      <c r="A4" t="inlineStr">
        <is>
          <t>新規契約店/月 (1〜6か月目)</t>
        </is>
      </c>
      <c r="B4" t="inlineStr">
        <is>
          <t>店</t>
        </is>
      </c>
      <c r="C4" s="8" t="n">
        <v>3</v>
      </c>
      <c r="D4" s="8" t="n">
        <v>4</v>
      </c>
      <c r="E4" s="8" t="n">
        <v>6</v>
      </c>
      <c r="F4" t="inlineStr">
        <is>
          <t>トライアル開始数</t>
        </is>
      </c>
    </row>
    <row r="5">
      <c r="A5" t="inlineStr">
        <is>
          <t>新規契約店/月 (7〜12か月目)</t>
        </is>
      </c>
      <c r="B5" t="inlineStr">
        <is>
          <t>店</t>
        </is>
      </c>
      <c r="C5" s="8" t="n">
        <v>6</v>
      </c>
      <c r="D5" s="8" t="n">
        <v>8</v>
      </c>
      <c r="E5" s="8" t="n">
        <v>12</v>
      </c>
      <c r="F5" t="inlineStr"/>
    </row>
    <row r="6">
      <c r="A6" t="inlineStr">
        <is>
          <t>新規契約店/月 (13〜24か月目)</t>
        </is>
      </c>
      <c r="B6" t="inlineStr">
        <is>
          <t>店</t>
        </is>
      </c>
      <c r="C6" s="8" t="n">
        <v>10</v>
      </c>
      <c r="D6" s="8" t="n">
        <v>18</v>
      </c>
      <c r="E6" s="8" t="n">
        <v>30</v>
      </c>
      <c r="F6" t="inlineStr"/>
    </row>
    <row r="7">
      <c r="A7" t="inlineStr">
        <is>
          <t>新規契約店/月 (25か月目以降)</t>
        </is>
      </c>
      <c r="B7" t="inlineStr">
        <is>
          <t>店</t>
        </is>
      </c>
      <c r="C7" s="8" t="n">
        <v>15</v>
      </c>
      <c r="D7" s="8" t="n">
        <v>35</v>
      </c>
      <c r="E7" s="8" t="n">
        <v>60</v>
      </c>
      <c r="F7" t="inlineStr"/>
    </row>
    <row r="8">
      <c r="A8" t="inlineStr">
        <is>
          <t>月次解約率(有料店)</t>
        </is>
      </c>
      <c r="B8" t="inlineStr">
        <is>
          <t>%</t>
        </is>
      </c>
      <c r="C8" s="9" t="n">
        <v>0.05</v>
      </c>
      <c r="D8" s="9" t="n">
        <v>0.035</v>
      </c>
      <c r="E8" s="9" t="n">
        <v>0.025</v>
      </c>
      <c r="F8" t="inlineStr">
        <is>
          <t>中小飲食店は3〜5%でも起こり得る</t>
        </is>
      </c>
    </row>
    <row r="9">
      <c r="A9" t="inlineStr">
        <is>
          <t>スタンダード比率</t>
        </is>
      </c>
      <c r="B9" t="inlineStr">
        <is>
          <t>%</t>
        </is>
      </c>
      <c r="C9" s="9" t="n">
        <v>0.75</v>
      </c>
      <c r="D9" s="9" t="n">
        <v>0.7</v>
      </c>
      <c r="E9" s="9" t="n">
        <v>0.6</v>
      </c>
      <c r="F9" t="inlineStr">
        <is>
          <t>個人店は安価プランが中心</t>
        </is>
      </c>
    </row>
    <row r="10">
      <c r="A10" t="inlineStr">
        <is>
          <t>プラス比率</t>
        </is>
      </c>
      <c r="B10" t="inlineStr">
        <is>
          <t>%</t>
        </is>
      </c>
      <c r="C10" s="9" t="n">
        <v>0.18</v>
      </c>
      <c r="D10" s="9" t="n">
        <v>0.2</v>
      </c>
      <c r="E10" s="9" t="n">
        <v>0.25</v>
      </c>
      <c r="F10" t="inlineStr"/>
    </row>
    <row r="11">
      <c r="A11" t="inlineStr">
        <is>
          <t>プレミアム比率</t>
        </is>
      </c>
      <c r="B11" t="inlineStr">
        <is>
          <t>%</t>
        </is>
      </c>
      <c r="C11" s="10">
        <f>1-C9-C10</f>
        <v/>
      </c>
      <c r="D11" s="10">
        <f>1-D9-D10</f>
        <v/>
      </c>
      <c r="E11" s="10">
        <f>1-E9-E10</f>
        <v/>
      </c>
      <c r="F11" t="inlineStr">
        <is>
          <t>自動計算</t>
        </is>
      </c>
    </row>
    <row r="12">
      <c r="A12" t="inlineStr">
        <is>
          <t>スタンダード月額</t>
        </is>
      </c>
      <c r="B12" t="inlineStr">
        <is>
          <t>万円</t>
        </is>
      </c>
      <c r="C12" s="8" t="n">
        <v>1</v>
      </c>
      <c r="D12" s="8" t="n">
        <v>1</v>
      </c>
      <c r="E12" s="8" t="n">
        <v>1</v>
      </c>
      <c r="F12" t="inlineStr">
        <is>
          <t>資料と同じ</t>
        </is>
      </c>
    </row>
    <row r="13">
      <c r="A13" t="inlineStr">
        <is>
          <t>プラス月額</t>
        </is>
      </c>
      <c r="B13" t="inlineStr">
        <is>
          <t>万円</t>
        </is>
      </c>
      <c r="C13" s="8" t="n">
        <v>2.5</v>
      </c>
      <c r="D13" s="8" t="n">
        <v>2.5</v>
      </c>
      <c r="E13" s="8" t="n">
        <v>2.5</v>
      </c>
      <c r="F13" t="inlineStr"/>
    </row>
    <row r="14">
      <c r="A14" t="inlineStr">
        <is>
          <t>プレミアム月額</t>
        </is>
      </c>
      <c r="B14" t="inlineStr">
        <is>
          <t>万円</t>
        </is>
      </c>
      <c r="C14" s="8" t="n">
        <v>5</v>
      </c>
      <c r="D14" s="8" t="n">
        <v>5</v>
      </c>
      <c r="E14" s="8" t="n">
        <v>5</v>
      </c>
      <c r="F14" t="inlineStr"/>
    </row>
    <row r="15">
      <c r="A15" t="inlineStr">
        <is>
          <t>平均月額(ARPU)</t>
        </is>
      </c>
      <c r="B15" t="inlineStr">
        <is>
          <t>万円</t>
        </is>
      </c>
      <c r="C15">
        <f>(C9*C12+C10*C13+C11*C14)</f>
        <v/>
      </c>
      <c r="D15">
        <f>(D9*D12+D10*D13+D11*D14)</f>
        <v/>
      </c>
      <c r="E15">
        <f>(E9*E12+E10*E13+E11*E14)</f>
        <v/>
      </c>
      <c r="F15" t="inlineStr">
        <is>
          <t>自動計算。資料は2.7〜3.0万円</t>
        </is>
      </c>
    </row>
    <row r="16">
      <c r="A16" t="inlineStr">
        <is>
          <t>成功報酬の来店数/店/月</t>
        </is>
      </c>
      <c r="B16" t="inlineStr">
        <is>
          <t>人</t>
        </is>
      </c>
      <c r="C16" s="8" t="n">
        <v>0</v>
      </c>
      <c r="D16" s="8" t="n">
        <v>8</v>
      </c>
      <c r="E16" s="8" t="n">
        <v>20</v>
      </c>
      <c r="F16" t="inlineStr">
        <is>
          <t>本体収益に対し小さい上乗せ</t>
        </is>
      </c>
    </row>
    <row r="17">
      <c r="A17" t="inlineStr">
        <is>
          <t>成功報酬 単価</t>
        </is>
      </c>
      <c r="B17" t="inlineStr">
        <is>
          <t>万円</t>
        </is>
      </c>
      <c r="C17" s="8" t="n">
        <v>0.015</v>
      </c>
      <c r="D17" s="8" t="n">
        <v>0.015</v>
      </c>
      <c r="E17" s="8" t="n">
        <v>0.015</v>
      </c>
      <c r="F17" t="inlineStr">
        <is>
          <t>1人150円</t>
        </is>
      </c>
    </row>
    <row r="18">
      <c r="A18" t="inlineStr">
        <is>
          <t>決済手数料率</t>
        </is>
      </c>
      <c r="B18" t="inlineStr">
        <is>
          <t>%</t>
        </is>
      </c>
      <c r="C18" s="9" t="n">
        <v>0.036</v>
      </c>
      <c r="D18" s="9" t="n">
        <v>0.036</v>
      </c>
      <c r="E18" s="9" t="n">
        <v>0.036</v>
      </c>
      <c r="F18" t="inlineStr">
        <is>
          <t>カード決済等</t>
        </is>
      </c>
    </row>
    <row r="19">
      <c r="A19" t="inlineStr">
        <is>
          <t>初期投資</t>
        </is>
      </c>
      <c r="B19" t="inlineStr">
        <is>
          <t>万円</t>
        </is>
      </c>
      <c r="C19" s="8" t="n">
        <v>500</v>
      </c>
      <c r="D19" s="8" t="n">
        <v>500</v>
      </c>
      <c r="E19" s="8" t="n">
        <v>500</v>
      </c>
      <c r="F19" t="inlineStr">
        <is>
          <t>AI活用MVP。資料は730万円</t>
        </is>
      </c>
    </row>
    <row r="20">
      <c r="A20" t="inlineStr">
        <is>
          <t>創業者報酬</t>
        </is>
      </c>
      <c r="B20" t="inlineStr">
        <is>
          <t>万円/月</t>
        </is>
      </c>
      <c r="C20" s="8" t="n">
        <v>25</v>
      </c>
      <c r="D20" s="8" t="n">
        <v>25</v>
      </c>
      <c r="E20" s="8" t="n">
        <v>25</v>
      </c>
      <c r="F20" t="inlineStr">
        <is>
          <t>最低限</t>
        </is>
      </c>
    </row>
    <row r="21">
      <c r="A21" t="inlineStr">
        <is>
          <t>エンジニア費 1年目</t>
        </is>
      </c>
      <c r="B21" t="inlineStr">
        <is>
          <t>万円/月</t>
        </is>
      </c>
      <c r="C21" s="8" t="n">
        <v>30</v>
      </c>
      <c r="D21" s="8" t="n">
        <v>30</v>
      </c>
      <c r="E21" s="8" t="n">
        <v>30</v>
      </c>
      <c r="F21" t="inlineStr">
        <is>
          <t>AI開発+外部レビュー(半常勤)</t>
        </is>
      </c>
    </row>
    <row r="22">
      <c r="A22" t="inlineStr">
        <is>
          <t>エンジニア費 2年目</t>
        </is>
      </c>
      <c r="B22" t="inlineStr">
        <is>
          <t>万円/月</t>
        </is>
      </c>
      <c r="C22" s="8" t="n">
        <v>50</v>
      </c>
      <c r="D22" s="8" t="n">
        <v>50</v>
      </c>
      <c r="E22" s="8" t="n">
        <v>50</v>
      </c>
      <c r="F22" t="inlineStr"/>
    </row>
    <row r="23">
      <c r="A23" t="inlineStr">
        <is>
          <t>エンジニア費 3年目以降</t>
        </is>
      </c>
      <c r="B23" t="inlineStr">
        <is>
          <t>万円/月</t>
        </is>
      </c>
      <c r="C23" s="8" t="n">
        <v>100</v>
      </c>
      <c r="D23" s="8" t="n">
        <v>100</v>
      </c>
      <c r="E23" s="8" t="n">
        <v>100</v>
      </c>
      <c r="F23" t="inlineStr">
        <is>
          <t>機能拡張・POS連携</t>
        </is>
      </c>
    </row>
    <row r="24">
      <c r="A24" t="inlineStr">
        <is>
          <t>営業1人あたり月間獲得店数</t>
        </is>
      </c>
      <c r="B24" t="inlineStr">
        <is>
          <t>店</t>
        </is>
      </c>
      <c r="C24" s="8" t="n">
        <v>8</v>
      </c>
      <c r="D24" s="8" t="n">
        <v>8</v>
      </c>
      <c r="E24" s="8" t="n">
        <v>8</v>
      </c>
      <c r="F24" t="inlineStr"/>
    </row>
    <row r="25">
      <c r="A25" t="inlineStr">
        <is>
          <t>営業人件費(社保込)</t>
        </is>
      </c>
      <c r="B25" t="inlineStr">
        <is>
          <t>万円/人月</t>
        </is>
      </c>
      <c r="C25" s="8" t="n">
        <v>40</v>
      </c>
      <c r="D25" s="8" t="n">
        <v>40</v>
      </c>
      <c r="E25" s="8" t="n">
        <v>40</v>
      </c>
      <c r="F25" t="inlineStr"/>
    </row>
    <row r="26">
      <c r="A26" t="inlineStr">
        <is>
          <t>営業人員の開始月</t>
        </is>
      </c>
      <c r="B26" t="inlineStr">
        <is>
          <t>月</t>
        </is>
      </c>
      <c r="C26" s="8" t="n">
        <v>4</v>
      </c>
      <c r="D26" s="8" t="n">
        <v>4</v>
      </c>
      <c r="E26" s="8" t="n">
        <v>4</v>
      </c>
      <c r="F26" t="inlineStr">
        <is>
          <t>それまでは創業者が営業</t>
        </is>
      </c>
    </row>
    <row r="27">
      <c r="A27" t="inlineStr">
        <is>
          <t>CS1人あたり対応店数</t>
        </is>
      </c>
      <c r="B27" t="inlineStr">
        <is>
          <t>店</t>
        </is>
      </c>
      <c r="C27" s="8" t="n">
        <v>150</v>
      </c>
      <c r="D27" s="8" t="n">
        <v>150</v>
      </c>
      <c r="E27" s="8" t="n">
        <v>150</v>
      </c>
      <c r="F27" t="inlineStr"/>
    </row>
    <row r="28">
      <c r="A28" t="inlineStr">
        <is>
          <t>CS人件費</t>
        </is>
      </c>
      <c r="B28" t="inlineStr">
        <is>
          <t>万円/人月</t>
        </is>
      </c>
      <c r="C28" s="8" t="n">
        <v>35</v>
      </c>
      <c r="D28" s="8" t="n">
        <v>35</v>
      </c>
      <c r="E28" s="8" t="n">
        <v>35</v>
      </c>
      <c r="F28" t="inlineStr"/>
    </row>
    <row r="29">
      <c r="A29" t="inlineStr">
        <is>
          <t>CS開始月</t>
        </is>
      </c>
      <c r="B29" t="inlineStr">
        <is>
          <t>月</t>
        </is>
      </c>
      <c r="C29" s="8" t="n">
        <v>7</v>
      </c>
      <c r="D29" s="8" t="n">
        <v>7</v>
      </c>
      <c r="E29" s="8" t="n">
        <v>7</v>
      </c>
      <c r="F29" t="inlineStr"/>
    </row>
    <row r="30">
      <c r="A30" t="inlineStr">
        <is>
          <t>マーケティング費 1年目</t>
        </is>
      </c>
      <c r="B30" t="inlineStr">
        <is>
          <t>万円/月</t>
        </is>
      </c>
      <c r="C30" s="8" t="n">
        <v>20</v>
      </c>
      <c r="D30" s="8" t="n">
        <v>20</v>
      </c>
      <c r="E30" s="8" t="n">
        <v>20</v>
      </c>
      <c r="F30" t="inlineStr"/>
    </row>
    <row r="31">
      <c r="A31" t="inlineStr">
        <is>
          <t>マーケティング費 2年目</t>
        </is>
      </c>
      <c r="B31" t="inlineStr">
        <is>
          <t>万円/月</t>
        </is>
      </c>
      <c r="C31" s="8" t="n">
        <v>40</v>
      </c>
      <c r="D31" s="8" t="n">
        <v>40</v>
      </c>
      <c r="E31" s="8" t="n">
        <v>40</v>
      </c>
      <c r="F31" t="inlineStr"/>
    </row>
    <row r="32">
      <c r="A32" t="inlineStr">
        <is>
          <t>マーケティング費 3年目以降</t>
        </is>
      </c>
      <c r="B32" t="inlineStr">
        <is>
          <t>万円/月</t>
        </is>
      </c>
      <c r="C32" s="8" t="n">
        <v>80</v>
      </c>
      <c r="D32" s="8" t="n">
        <v>80</v>
      </c>
      <c r="E32" s="8" t="n">
        <v>80</v>
      </c>
      <c r="F32" t="inlineStr"/>
    </row>
    <row r="33">
      <c r="A33" t="inlineStr">
        <is>
          <t>家賃 1年目</t>
        </is>
      </c>
      <c r="B33" t="inlineStr">
        <is>
          <t>万円/月</t>
        </is>
      </c>
      <c r="C33" s="8" t="n">
        <v>5</v>
      </c>
      <c r="D33" s="8" t="n">
        <v>5</v>
      </c>
      <c r="E33" s="8" t="n">
        <v>5</v>
      </c>
      <c r="F33" t="inlineStr">
        <is>
          <t>コワーキング</t>
        </is>
      </c>
    </row>
    <row r="34">
      <c r="A34" t="inlineStr">
        <is>
          <t>家賃 2年目</t>
        </is>
      </c>
      <c r="B34" t="inlineStr">
        <is>
          <t>万円/月</t>
        </is>
      </c>
      <c r="C34" s="8" t="n">
        <v>10</v>
      </c>
      <c r="D34" s="8" t="n">
        <v>10</v>
      </c>
      <c r="E34" s="8" t="n">
        <v>10</v>
      </c>
      <c r="F34" t="inlineStr"/>
    </row>
    <row r="35">
      <c r="A35" t="inlineStr">
        <is>
          <t>家賃 3年目以降</t>
        </is>
      </c>
      <c r="B35" t="inlineStr">
        <is>
          <t>万円/月</t>
        </is>
      </c>
      <c r="C35" s="8" t="n">
        <v>20</v>
      </c>
      <c r="D35" s="8" t="n">
        <v>20</v>
      </c>
      <c r="E35" s="8" t="n">
        <v>20</v>
      </c>
      <c r="F35" t="inlineStr"/>
    </row>
    <row r="36">
      <c r="A36" t="inlineStr">
        <is>
          <t>法務・会計・雑費</t>
        </is>
      </c>
      <c r="B36" t="inlineStr">
        <is>
          <t>万円/月</t>
        </is>
      </c>
      <c r="C36" s="8" t="n">
        <v>5</v>
      </c>
      <c r="D36" s="8" t="n">
        <v>5</v>
      </c>
      <c r="E36" s="8" t="n">
        <v>5</v>
      </c>
      <c r="F36" t="inlineStr"/>
    </row>
    <row r="37">
      <c r="A37" t="inlineStr">
        <is>
          <t>サーバー・地図API 固定</t>
        </is>
      </c>
      <c r="B37" t="inlineStr">
        <is>
          <t>万円/月</t>
        </is>
      </c>
      <c r="C37" s="8" t="n">
        <v>3</v>
      </c>
      <c r="D37" s="8" t="n">
        <v>3</v>
      </c>
      <c r="E37" s="8" t="n">
        <v>3</v>
      </c>
      <c r="F37" t="inlineStr"/>
    </row>
    <row r="38">
      <c r="A38" t="inlineStr">
        <is>
          <t>サーバー・地図API 変動/店</t>
        </is>
      </c>
      <c r="B38" t="inlineStr">
        <is>
          <t>万円/店</t>
        </is>
      </c>
      <c r="C38" s="8" t="n">
        <v>0.05</v>
      </c>
      <c r="D38" s="8" t="n">
        <v>0.05</v>
      </c>
      <c r="E38" s="8" t="n">
        <v>0.05</v>
      </c>
      <c r="F38" t="inlineStr">
        <is>
          <t>500円/店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月次収支(悲観シナリオ、単位:万円)</t>
        </is>
      </c>
    </row>
    <row r="3">
      <c r="A3" s="3" t="inlineStr">
        <is>
          <t>月</t>
        </is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  <c r="AB3" s="11" t="n">
        <v>26</v>
      </c>
      <c r="AC3" s="11" t="n">
        <v>27</v>
      </c>
      <c r="AD3" s="11" t="n">
        <v>28</v>
      </c>
      <c r="AE3" s="11" t="n">
        <v>29</v>
      </c>
      <c r="AF3" s="11" t="n">
        <v>30</v>
      </c>
      <c r="AG3" s="11" t="n">
        <v>31</v>
      </c>
      <c r="AH3" s="11" t="n">
        <v>32</v>
      </c>
      <c r="AI3" s="11" t="n">
        <v>33</v>
      </c>
      <c r="AJ3" s="11" t="n">
        <v>34</v>
      </c>
      <c r="AK3" s="11" t="n">
        <v>35</v>
      </c>
      <c r="AL3" s="11" t="n">
        <v>36</v>
      </c>
      <c r="AM3" s="11" t="n">
        <v>37</v>
      </c>
      <c r="AN3" s="11" t="n">
        <v>38</v>
      </c>
      <c r="AO3" s="11" t="n">
        <v>39</v>
      </c>
      <c r="AP3" s="11" t="n">
        <v>40</v>
      </c>
      <c r="AQ3" s="11" t="n">
        <v>41</v>
      </c>
      <c r="AR3" s="11" t="n">
        <v>42</v>
      </c>
      <c r="AS3" s="11" t="n">
        <v>43</v>
      </c>
      <c r="AT3" s="11" t="n">
        <v>44</v>
      </c>
      <c r="AU3" s="11" t="n">
        <v>45</v>
      </c>
      <c r="AV3" s="11" t="n">
        <v>46</v>
      </c>
      <c r="AW3" s="11" t="n">
        <v>47</v>
      </c>
      <c r="AX3" s="11" t="n">
        <v>48</v>
      </c>
      <c r="AY3" s="11" t="n">
        <v>49</v>
      </c>
      <c r="AZ3" s="11" t="n">
        <v>50</v>
      </c>
      <c r="BA3" s="11" t="n">
        <v>51</v>
      </c>
      <c r="BB3" s="11" t="n">
        <v>52</v>
      </c>
      <c r="BC3" s="11" t="n">
        <v>53</v>
      </c>
      <c r="BD3" s="11" t="n">
        <v>54</v>
      </c>
      <c r="BE3" s="11" t="n">
        <v>55</v>
      </c>
      <c r="BF3" s="11" t="n">
        <v>56</v>
      </c>
      <c r="BG3" s="11" t="n">
        <v>57</v>
      </c>
      <c r="BH3" s="11" t="n">
        <v>58</v>
      </c>
      <c r="BI3" s="11" t="n">
        <v>59</v>
      </c>
      <c r="BJ3" s="11" t="n">
        <v>60</v>
      </c>
    </row>
    <row r="4">
      <c r="A4" t="inlineStr">
        <is>
          <t>年</t>
        </is>
      </c>
      <c r="C4" s="12">
        <f>ROUNDUP(C3/12,0)</f>
        <v/>
      </c>
      <c r="D4" s="12">
        <f>ROUNDUP(D3/12,0)</f>
        <v/>
      </c>
      <c r="E4" s="12">
        <f>ROUNDUP(E3/12,0)</f>
        <v/>
      </c>
      <c r="F4" s="12">
        <f>ROUNDUP(F3/12,0)</f>
        <v/>
      </c>
      <c r="G4" s="12">
        <f>ROUNDUP(G3/12,0)</f>
        <v/>
      </c>
      <c r="H4" s="12">
        <f>ROUNDUP(H3/12,0)</f>
        <v/>
      </c>
      <c r="I4" s="12">
        <f>ROUNDUP(I3/12,0)</f>
        <v/>
      </c>
      <c r="J4" s="12">
        <f>ROUNDUP(J3/12,0)</f>
        <v/>
      </c>
      <c r="K4" s="12">
        <f>ROUNDUP(K3/12,0)</f>
        <v/>
      </c>
      <c r="L4" s="12">
        <f>ROUNDUP(L3/12,0)</f>
        <v/>
      </c>
      <c r="M4" s="12">
        <f>ROUNDUP(M3/12,0)</f>
        <v/>
      </c>
      <c r="N4" s="12">
        <f>ROUNDUP(N3/12,0)</f>
        <v/>
      </c>
      <c r="O4" s="12">
        <f>ROUNDUP(O3/12,0)</f>
        <v/>
      </c>
      <c r="P4" s="12">
        <f>ROUNDUP(P3/12,0)</f>
        <v/>
      </c>
      <c r="Q4" s="12">
        <f>ROUNDUP(Q3/12,0)</f>
        <v/>
      </c>
      <c r="R4" s="12">
        <f>ROUNDUP(R3/12,0)</f>
        <v/>
      </c>
      <c r="S4" s="12">
        <f>ROUNDUP(S3/12,0)</f>
        <v/>
      </c>
      <c r="T4" s="12">
        <f>ROUNDUP(T3/12,0)</f>
        <v/>
      </c>
      <c r="U4" s="12">
        <f>ROUNDUP(U3/12,0)</f>
        <v/>
      </c>
      <c r="V4" s="12">
        <f>ROUNDUP(V3/12,0)</f>
        <v/>
      </c>
      <c r="W4" s="12">
        <f>ROUNDUP(W3/12,0)</f>
        <v/>
      </c>
      <c r="X4" s="12">
        <f>ROUNDUP(X3/12,0)</f>
        <v/>
      </c>
      <c r="Y4" s="12">
        <f>ROUNDUP(Y3/12,0)</f>
        <v/>
      </c>
      <c r="Z4" s="12">
        <f>ROUNDUP(Z3/12,0)</f>
        <v/>
      </c>
      <c r="AA4" s="12">
        <f>ROUNDUP(AA3/12,0)</f>
        <v/>
      </c>
      <c r="AB4" s="12">
        <f>ROUNDUP(AB3/12,0)</f>
        <v/>
      </c>
      <c r="AC4" s="12">
        <f>ROUNDUP(AC3/12,0)</f>
        <v/>
      </c>
      <c r="AD4" s="12">
        <f>ROUNDUP(AD3/12,0)</f>
        <v/>
      </c>
      <c r="AE4" s="12">
        <f>ROUNDUP(AE3/12,0)</f>
        <v/>
      </c>
      <c r="AF4" s="12">
        <f>ROUNDUP(AF3/12,0)</f>
        <v/>
      </c>
      <c r="AG4" s="12">
        <f>ROUNDUP(AG3/12,0)</f>
        <v/>
      </c>
      <c r="AH4" s="12">
        <f>ROUNDUP(AH3/12,0)</f>
        <v/>
      </c>
      <c r="AI4" s="12">
        <f>ROUNDUP(AI3/12,0)</f>
        <v/>
      </c>
      <c r="AJ4" s="12">
        <f>ROUNDUP(AJ3/12,0)</f>
        <v/>
      </c>
      <c r="AK4" s="12">
        <f>ROUNDUP(AK3/12,0)</f>
        <v/>
      </c>
      <c r="AL4" s="12">
        <f>ROUNDUP(AL3/12,0)</f>
        <v/>
      </c>
      <c r="AM4" s="12">
        <f>ROUNDUP(AM3/12,0)</f>
        <v/>
      </c>
      <c r="AN4" s="12">
        <f>ROUNDUP(AN3/12,0)</f>
        <v/>
      </c>
      <c r="AO4" s="12">
        <f>ROUNDUP(AO3/12,0)</f>
        <v/>
      </c>
      <c r="AP4" s="12">
        <f>ROUNDUP(AP3/12,0)</f>
        <v/>
      </c>
      <c r="AQ4" s="12">
        <f>ROUNDUP(AQ3/12,0)</f>
        <v/>
      </c>
      <c r="AR4" s="12">
        <f>ROUNDUP(AR3/12,0)</f>
        <v/>
      </c>
      <c r="AS4" s="12">
        <f>ROUNDUP(AS3/12,0)</f>
        <v/>
      </c>
      <c r="AT4" s="12">
        <f>ROUNDUP(AT3/12,0)</f>
        <v/>
      </c>
      <c r="AU4" s="12">
        <f>ROUNDUP(AU3/12,0)</f>
        <v/>
      </c>
      <c r="AV4" s="12">
        <f>ROUNDUP(AV3/12,0)</f>
        <v/>
      </c>
      <c r="AW4" s="12">
        <f>ROUNDUP(AW3/12,0)</f>
        <v/>
      </c>
      <c r="AX4" s="12">
        <f>ROUNDUP(AX3/12,0)</f>
        <v/>
      </c>
      <c r="AY4" s="12">
        <f>ROUNDUP(AY3/12,0)</f>
        <v/>
      </c>
      <c r="AZ4" s="12">
        <f>ROUNDUP(AZ3/12,0)</f>
        <v/>
      </c>
      <c r="BA4" s="12">
        <f>ROUNDUP(BA3/12,0)</f>
        <v/>
      </c>
      <c r="BB4" s="12">
        <f>ROUNDUP(BB3/12,0)</f>
        <v/>
      </c>
      <c r="BC4" s="12">
        <f>ROUNDUP(BC3/12,0)</f>
        <v/>
      </c>
      <c r="BD4" s="12">
        <f>ROUNDUP(BD3/12,0)</f>
        <v/>
      </c>
      <c r="BE4" s="12">
        <f>ROUNDUP(BE3/12,0)</f>
        <v/>
      </c>
      <c r="BF4" s="12">
        <f>ROUNDUP(BF3/12,0)</f>
        <v/>
      </c>
      <c r="BG4" s="12">
        <f>ROUNDUP(BG3/12,0)</f>
        <v/>
      </c>
      <c r="BH4" s="12">
        <f>ROUNDUP(BH3/12,0)</f>
        <v/>
      </c>
      <c r="BI4" s="12">
        <f>ROUNDUP(BI3/12,0)</f>
        <v/>
      </c>
      <c r="BJ4" s="12">
        <f>ROUNDUP(BJ3/12,0)</f>
        <v/>
      </c>
    </row>
    <row r="5">
      <c r="A5" t="inlineStr">
        <is>
          <t>新規契約店(トライアル開始)</t>
        </is>
      </c>
      <c r="C5" s="13">
        <f>IF(C3&lt;=6,前提条件!$C$4,IF(C3&lt;=12,前提条件!$C$5,IF(C3&lt;=24,前提条件!$C$6,前提条件!$C$7)))</f>
        <v/>
      </c>
      <c r="D5" s="13">
        <f>IF(D3&lt;=6,前提条件!$C$4,IF(D3&lt;=12,前提条件!$C$5,IF(D3&lt;=24,前提条件!$C$6,前提条件!$C$7)))</f>
        <v/>
      </c>
      <c r="E5" s="13">
        <f>IF(E3&lt;=6,前提条件!$C$4,IF(E3&lt;=12,前提条件!$C$5,IF(E3&lt;=24,前提条件!$C$6,前提条件!$C$7)))</f>
        <v/>
      </c>
      <c r="F5" s="13">
        <f>IF(F3&lt;=6,前提条件!$C$4,IF(F3&lt;=12,前提条件!$C$5,IF(F3&lt;=24,前提条件!$C$6,前提条件!$C$7)))</f>
        <v/>
      </c>
      <c r="G5" s="13">
        <f>IF(G3&lt;=6,前提条件!$C$4,IF(G3&lt;=12,前提条件!$C$5,IF(G3&lt;=24,前提条件!$C$6,前提条件!$C$7)))</f>
        <v/>
      </c>
      <c r="H5" s="13">
        <f>IF(H3&lt;=6,前提条件!$C$4,IF(H3&lt;=12,前提条件!$C$5,IF(H3&lt;=24,前提条件!$C$6,前提条件!$C$7)))</f>
        <v/>
      </c>
      <c r="I5" s="13">
        <f>IF(I3&lt;=6,前提条件!$C$4,IF(I3&lt;=12,前提条件!$C$5,IF(I3&lt;=24,前提条件!$C$6,前提条件!$C$7)))</f>
        <v/>
      </c>
      <c r="J5" s="13">
        <f>IF(J3&lt;=6,前提条件!$C$4,IF(J3&lt;=12,前提条件!$C$5,IF(J3&lt;=24,前提条件!$C$6,前提条件!$C$7)))</f>
        <v/>
      </c>
      <c r="K5" s="13">
        <f>IF(K3&lt;=6,前提条件!$C$4,IF(K3&lt;=12,前提条件!$C$5,IF(K3&lt;=24,前提条件!$C$6,前提条件!$C$7)))</f>
        <v/>
      </c>
      <c r="L5" s="13">
        <f>IF(L3&lt;=6,前提条件!$C$4,IF(L3&lt;=12,前提条件!$C$5,IF(L3&lt;=24,前提条件!$C$6,前提条件!$C$7)))</f>
        <v/>
      </c>
      <c r="M5" s="13">
        <f>IF(M3&lt;=6,前提条件!$C$4,IF(M3&lt;=12,前提条件!$C$5,IF(M3&lt;=24,前提条件!$C$6,前提条件!$C$7)))</f>
        <v/>
      </c>
      <c r="N5" s="13">
        <f>IF(N3&lt;=6,前提条件!$C$4,IF(N3&lt;=12,前提条件!$C$5,IF(N3&lt;=24,前提条件!$C$6,前提条件!$C$7)))</f>
        <v/>
      </c>
      <c r="O5" s="13">
        <f>IF(O3&lt;=6,前提条件!$C$4,IF(O3&lt;=12,前提条件!$C$5,IF(O3&lt;=24,前提条件!$C$6,前提条件!$C$7)))</f>
        <v/>
      </c>
      <c r="P5" s="13">
        <f>IF(P3&lt;=6,前提条件!$C$4,IF(P3&lt;=12,前提条件!$C$5,IF(P3&lt;=24,前提条件!$C$6,前提条件!$C$7)))</f>
        <v/>
      </c>
      <c r="Q5" s="13">
        <f>IF(Q3&lt;=6,前提条件!$C$4,IF(Q3&lt;=12,前提条件!$C$5,IF(Q3&lt;=24,前提条件!$C$6,前提条件!$C$7)))</f>
        <v/>
      </c>
      <c r="R5" s="13">
        <f>IF(R3&lt;=6,前提条件!$C$4,IF(R3&lt;=12,前提条件!$C$5,IF(R3&lt;=24,前提条件!$C$6,前提条件!$C$7)))</f>
        <v/>
      </c>
      <c r="S5" s="13">
        <f>IF(S3&lt;=6,前提条件!$C$4,IF(S3&lt;=12,前提条件!$C$5,IF(S3&lt;=24,前提条件!$C$6,前提条件!$C$7)))</f>
        <v/>
      </c>
      <c r="T5" s="13">
        <f>IF(T3&lt;=6,前提条件!$C$4,IF(T3&lt;=12,前提条件!$C$5,IF(T3&lt;=24,前提条件!$C$6,前提条件!$C$7)))</f>
        <v/>
      </c>
      <c r="U5" s="13">
        <f>IF(U3&lt;=6,前提条件!$C$4,IF(U3&lt;=12,前提条件!$C$5,IF(U3&lt;=24,前提条件!$C$6,前提条件!$C$7)))</f>
        <v/>
      </c>
      <c r="V5" s="13">
        <f>IF(V3&lt;=6,前提条件!$C$4,IF(V3&lt;=12,前提条件!$C$5,IF(V3&lt;=24,前提条件!$C$6,前提条件!$C$7)))</f>
        <v/>
      </c>
      <c r="W5" s="13">
        <f>IF(W3&lt;=6,前提条件!$C$4,IF(W3&lt;=12,前提条件!$C$5,IF(W3&lt;=24,前提条件!$C$6,前提条件!$C$7)))</f>
        <v/>
      </c>
      <c r="X5" s="13">
        <f>IF(X3&lt;=6,前提条件!$C$4,IF(X3&lt;=12,前提条件!$C$5,IF(X3&lt;=24,前提条件!$C$6,前提条件!$C$7)))</f>
        <v/>
      </c>
      <c r="Y5" s="13">
        <f>IF(Y3&lt;=6,前提条件!$C$4,IF(Y3&lt;=12,前提条件!$C$5,IF(Y3&lt;=24,前提条件!$C$6,前提条件!$C$7)))</f>
        <v/>
      </c>
      <c r="Z5" s="13">
        <f>IF(Z3&lt;=6,前提条件!$C$4,IF(Z3&lt;=12,前提条件!$C$5,IF(Z3&lt;=24,前提条件!$C$6,前提条件!$C$7)))</f>
        <v/>
      </c>
      <c r="AA5" s="13">
        <f>IF(AA3&lt;=6,前提条件!$C$4,IF(AA3&lt;=12,前提条件!$C$5,IF(AA3&lt;=24,前提条件!$C$6,前提条件!$C$7)))</f>
        <v/>
      </c>
      <c r="AB5" s="13">
        <f>IF(AB3&lt;=6,前提条件!$C$4,IF(AB3&lt;=12,前提条件!$C$5,IF(AB3&lt;=24,前提条件!$C$6,前提条件!$C$7)))</f>
        <v/>
      </c>
      <c r="AC5" s="13">
        <f>IF(AC3&lt;=6,前提条件!$C$4,IF(AC3&lt;=12,前提条件!$C$5,IF(AC3&lt;=24,前提条件!$C$6,前提条件!$C$7)))</f>
        <v/>
      </c>
      <c r="AD5" s="13">
        <f>IF(AD3&lt;=6,前提条件!$C$4,IF(AD3&lt;=12,前提条件!$C$5,IF(AD3&lt;=24,前提条件!$C$6,前提条件!$C$7)))</f>
        <v/>
      </c>
      <c r="AE5" s="13">
        <f>IF(AE3&lt;=6,前提条件!$C$4,IF(AE3&lt;=12,前提条件!$C$5,IF(AE3&lt;=24,前提条件!$C$6,前提条件!$C$7)))</f>
        <v/>
      </c>
      <c r="AF5" s="13">
        <f>IF(AF3&lt;=6,前提条件!$C$4,IF(AF3&lt;=12,前提条件!$C$5,IF(AF3&lt;=24,前提条件!$C$6,前提条件!$C$7)))</f>
        <v/>
      </c>
      <c r="AG5" s="13">
        <f>IF(AG3&lt;=6,前提条件!$C$4,IF(AG3&lt;=12,前提条件!$C$5,IF(AG3&lt;=24,前提条件!$C$6,前提条件!$C$7)))</f>
        <v/>
      </c>
      <c r="AH5" s="13">
        <f>IF(AH3&lt;=6,前提条件!$C$4,IF(AH3&lt;=12,前提条件!$C$5,IF(AH3&lt;=24,前提条件!$C$6,前提条件!$C$7)))</f>
        <v/>
      </c>
      <c r="AI5" s="13">
        <f>IF(AI3&lt;=6,前提条件!$C$4,IF(AI3&lt;=12,前提条件!$C$5,IF(AI3&lt;=24,前提条件!$C$6,前提条件!$C$7)))</f>
        <v/>
      </c>
      <c r="AJ5" s="13">
        <f>IF(AJ3&lt;=6,前提条件!$C$4,IF(AJ3&lt;=12,前提条件!$C$5,IF(AJ3&lt;=24,前提条件!$C$6,前提条件!$C$7)))</f>
        <v/>
      </c>
      <c r="AK5" s="13">
        <f>IF(AK3&lt;=6,前提条件!$C$4,IF(AK3&lt;=12,前提条件!$C$5,IF(AK3&lt;=24,前提条件!$C$6,前提条件!$C$7)))</f>
        <v/>
      </c>
      <c r="AL5" s="13">
        <f>IF(AL3&lt;=6,前提条件!$C$4,IF(AL3&lt;=12,前提条件!$C$5,IF(AL3&lt;=24,前提条件!$C$6,前提条件!$C$7)))</f>
        <v/>
      </c>
      <c r="AM5" s="13">
        <f>IF(AM3&lt;=6,前提条件!$C$4,IF(AM3&lt;=12,前提条件!$C$5,IF(AM3&lt;=24,前提条件!$C$6,前提条件!$C$7)))</f>
        <v/>
      </c>
      <c r="AN5" s="13">
        <f>IF(AN3&lt;=6,前提条件!$C$4,IF(AN3&lt;=12,前提条件!$C$5,IF(AN3&lt;=24,前提条件!$C$6,前提条件!$C$7)))</f>
        <v/>
      </c>
      <c r="AO5" s="13">
        <f>IF(AO3&lt;=6,前提条件!$C$4,IF(AO3&lt;=12,前提条件!$C$5,IF(AO3&lt;=24,前提条件!$C$6,前提条件!$C$7)))</f>
        <v/>
      </c>
      <c r="AP5" s="13">
        <f>IF(AP3&lt;=6,前提条件!$C$4,IF(AP3&lt;=12,前提条件!$C$5,IF(AP3&lt;=24,前提条件!$C$6,前提条件!$C$7)))</f>
        <v/>
      </c>
      <c r="AQ5" s="13">
        <f>IF(AQ3&lt;=6,前提条件!$C$4,IF(AQ3&lt;=12,前提条件!$C$5,IF(AQ3&lt;=24,前提条件!$C$6,前提条件!$C$7)))</f>
        <v/>
      </c>
      <c r="AR5" s="13">
        <f>IF(AR3&lt;=6,前提条件!$C$4,IF(AR3&lt;=12,前提条件!$C$5,IF(AR3&lt;=24,前提条件!$C$6,前提条件!$C$7)))</f>
        <v/>
      </c>
      <c r="AS5" s="13">
        <f>IF(AS3&lt;=6,前提条件!$C$4,IF(AS3&lt;=12,前提条件!$C$5,IF(AS3&lt;=24,前提条件!$C$6,前提条件!$C$7)))</f>
        <v/>
      </c>
      <c r="AT5" s="13">
        <f>IF(AT3&lt;=6,前提条件!$C$4,IF(AT3&lt;=12,前提条件!$C$5,IF(AT3&lt;=24,前提条件!$C$6,前提条件!$C$7)))</f>
        <v/>
      </c>
      <c r="AU5" s="13">
        <f>IF(AU3&lt;=6,前提条件!$C$4,IF(AU3&lt;=12,前提条件!$C$5,IF(AU3&lt;=24,前提条件!$C$6,前提条件!$C$7)))</f>
        <v/>
      </c>
      <c r="AV5" s="13">
        <f>IF(AV3&lt;=6,前提条件!$C$4,IF(AV3&lt;=12,前提条件!$C$5,IF(AV3&lt;=24,前提条件!$C$6,前提条件!$C$7)))</f>
        <v/>
      </c>
      <c r="AW5" s="13">
        <f>IF(AW3&lt;=6,前提条件!$C$4,IF(AW3&lt;=12,前提条件!$C$5,IF(AW3&lt;=24,前提条件!$C$6,前提条件!$C$7)))</f>
        <v/>
      </c>
      <c r="AX5" s="13">
        <f>IF(AX3&lt;=6,前提条件!$C$4,IF(AX3&lt;=12,前提条件!$C$5,IF(AX3&lt;=24,前提条件!$C$6,前提条件!$C$7)))</f>
        <v/>
      </c>
      <c r="AY5" s="13">
        <f>IF(AY3&lt;=6,前提条件!$C$4,IF(AY3&lt;=12,前提条件!$C$5,IF(AY3&lt;=24,前提条件!$C$6,前提条件!$C$7)))</f>
        <v/>
      </c>
      <c r="AZ5" s="13">
        <f>IF(AZ3&lt;=6,前提条件!$C$4,IF(AZ3&lt;=12,前提条件!$C$5,IF(AZ3&lt;=24,前提条件!$C$6,前提条件!$C$7)))</f>
        <v/>
      </c>
      <c r="BA5" s="13">
        <f>IF(BA3&lt;=6,前提条件!$C$4,IF(BA3&lt;=12,前提条件!$C$5,IF(BA3&lt;=24,前提条件!$C$6,前提条件!$C$7)))</f>
        <v/>
      </c>
      <c r="BB5" s="13">
        <f>IF(BB3&lt;=6,前提条件!$C$4,IF(BB3&lt;=12,前提条件!$C$5,IF(BB3&lt;=24,前提条件!$C$6,前提条件!$C$7)))</f>
        <v/>
      </c>
      <c r="BC5" s="13">
        <f>IF(BC3&lt;=6,前提条件!$C$4,IF(BC3&lt;=12,前提条件!$C$5,IF(BC3&lt;=24,前提条件!$C$6,前提条件!$C$7)))</f>
        <v/>
      </c>
      <c r="BD5" s="13">
        <f>IF(BD3&lt;=6,前提条件!$C$4,IF(BD3&lt;=12,前提条件!$C$5,IF(BD3&lt;=24,前提条件!$C$6,前提条件!$C$7)))</f>
        <v/>
      </c>
      <c r="BE5" s="13">
        <f>IF(BE3&lt;=6,前提条件!$C$4,IF(BE3&lt;=12,前提条件!$C$5,IF(BE3&lt;=24,前提条件!$C$6,前提条件!$C$7)))</f>
        <v/>
      </c>
      <c r="BF5" s="13">
        <f>IF(BF3&lt;=6,前提条件!$C$4,IF(BF3&lt;=12,前提条件!$C$5,IF(BF3&lt;=24,前提条件!$C$6,前提条件!$C$7)))</f>
        <v/>
      </c>
      <c r="BG5" s="13">
        <f>IF(BG3&lt;=6,前提条件!$C$4,IF(BG3&lt;=12,前提条件!$C$5,IF(BG3&lt;=24,前提条件!$C$6,前提条件!$C$7)))</f>
        <v/>
      </c>
      <c r="BH5" s="13">
        <f>IF(BH3&lt;=6,前提条件!$C$4,IF(BH3&lt;=12,前提条件!$C$5,IF(BH3&lt;=24,前提条件!$C$6,前提条件!$C$7)))</f>
        <v/>
      </c>
      <c r="BI5" s="13">
        <f>IF(BI3&lt;=6,前提条件!$C$4,IF(BI3&lt;=12,前提条件!$C$5,IF(BI3&lt;=24,前提条件!$C$6,前提条件!$C$7)))</f>
        <v/>
      </c>
      <c r="BJ5" s="13">
        <f>IF(BJ3&lt;=6,前提条件!$C$4,IF(BJ3&lt;=12,前提条件!$C$5,IF(BJ3&lt;=24,前提条件!$C$6,前提条件!$C$7)))</f>
        <v/>
      </c>
    </row>
    <row r="6">
      <c r="A6" t="inlineStr">
        <is>
          <t>有料化(新規)</t>
        </is>
      </c>
      <c r="C6" s="13" t="n">
        <v>0</v>
      </c>
      <c r="D6" s="13" t="n">
        <v>0</v>
      </c>
      <c r="E6" s="13" t="n">
        <v>0</v>
      </c>
      <c r="F6" s="13">
        <f>C5</f>
        <v/>
      </c>
      <c r="G6" s="13">
        <f>D5</f>
        <v/>
      </c>
      <c r="H6" s="13">
        <f>E5</f>
        <v/>
      </c>
      <c r="I6" s="13">
        <f>F5</f>
        <v/>
      </c>
      <c r="J6" s="13">
        <f>G5</f>
        <v/>
      </c>
      <c r="K6" s="13">
        <f>H5</f>
        <v/>
      </c>
      <c r="L6" s="13">
        <f>I5</f>
        <v/>
      </c>
      <c r="M6" s="13">
        <f>J5</f>
        <v/>
      </c>
      <c r="N6" s="13">
        <f>K5</f>
        <v/>
      </c>
      <c r="O6" s="13">
        <f>L5</f>
        <v/>
      </c>
      <c r="P6" s="13">
        <f>M5</f>
        <v/>
      </c>
      <c r="Q6" s="13">
        <f>N5</f>
        <v/>
      </c>
      <c r="R6" s="13">
        <f>O5</f>
        <v/>
      </c>
      <c r="S6" s="13">
        <f>P5</f>
        <v/>
      </c>
      <c r="T6" s="13">
        <f>Q5</f>
        <v/>
      </c>
      <c r="U6" s="13">
        <f>R5</f>
        <v/>
      </c>
      <c r="V6" s="13">
        <f>S5</f>
        <v/>
      </c>
      <c r="W6" s="13">
        <f>T5</f>
        <v/>
      </c>
      <c r="X6" s="13">
        <f>U5</f>
        <v/>
      </c>
      <c r="Y6" s="13">
        <f>V5</f>
        <v/>
      </c>
      <c r="Z6" s="13">
        <f>W5</f>
        <v/>
      </c>
      <c r="AA6" s="13">
        <f>X5</f>
        <v/>
      </c>
      <c r="AB6" s="13">
        <f>Y5</f>
        <v/>
      </c>
      <c r="AC6" s="13">
        <f>Z5</f>
        <v/>
      </c>
      <c r="AD6" s="13">
        <f>AA5</f>
        <v/>
      </c>
      <c r="AE6" s="13">
        <f>AB5</f>
        <v/>
      </c>
      <c r="AF6" s="13">
        <f>AC5</f>
        <v/>
      </c>
      <c r="AG6" s="13">
        <f>AD5</f>
        <v/>
      </c>
      <c r="AH6" s="13">
        <f>AE5</f>
        <v/>
      </c>
      <c r="AI6" s="13">
        <f>AF5</f>
        <v/>
      </c>
      <c r="AJ6" s="13">
        <f>AG5</f>
        <v/>
      </c>
      <c r="AK6" s="13">
        <f>AH5</f>
        <v/>
      </c>
      <c r="AL6" s="13">
        <f>AI5</f>
        <v/>
      </c>
      <c r="AM6" s="13">
        <f>AJ5</f>
        <v/>
      </c>
      <c r="AN6" s="13">
        <f>AK5</f>
        <v/>
      </c>
      <c r="AO6" s="13">
        <f>AL5</f>
        <v/>
      </c>
      <c r="AP6" s="13">
        <f>AM5</f>
        <v/>
      </c>
      <c r="AQ6" s="13">
        <f>AN5</f>
        <v/>
      </c>
      <c r="AR6" s="13">
        <f>AO5</f>
        <v/>
      </c>
      <c r="AS6" s="13">
        <f>AP5</f>
        <v/>
      </c>
      <c r="AT6" s="13">
        <f>AQ5</f>
        <v/>
      </c>
      <c r="AU6" s="13">
        <f>AR5</f>
        <v/>
      </c>
      <c r="AV6" s="13">
        <f>AS5</f>
        <v/>
      </c>
      <c r="AW6" s="13">
        <f>AT5</f>
        <v/>
      </c>
      <c r="AX6" s="13">
        <f>AU5</f>
        <v/>
      </c>
      <c r="AY6" s="13">
        <f>AV5</f>
        <v/>
      </c>
      <c r="AZ6" s="13">
        <f>AW5</f>
        <v/>
      </c>
      <c r="BA6" s="13">
        <f>AX5</f>
        <v/>
      </c>
      <c r="BB6" s="13">
        <f>AY5</f>
        <v/>
      </c>
      <c r="BC6" s="13">
        <f>AZ5</f>
        <v/>
      </c>
      <c r="BD6" s="13">
        <f>BA5</f>
        <v/>
      </c>
      <c r="BE6" s="13">
        <f>BB5</f>
        <v/>
      </c>
      <c r="BF6" s="13">
        <f>BC5</f>
        <v/>
      </c>
      <c r="BG6" s="13">
        <f>BD5</f>
        <v/>
      </c>
      <c r="BH6" s="13">
        <f>BE5</f>
        <v/>
      </c>
      <c r="BI6" s="13">
        <f>BF5</f>
        <v/>
      </c>
      <c r="BJ6" s="13">
        <f>BG5</f>
        <v/>
      </c>
    </row>
    <row r="7">
      <c r="A7" t="inlineStr">
        <is>
          <t>解約</t>
        </is>
      </c>
      <c r="C7" s="13" t="n">
        <v>0</v>
      </c>
      <c r="D7" s="13">
        <f>C8*前提条件!$C$8</f>
        <v/>
      </c>
      <c r="E7" s="13">
        <f>D8*前提条件!$C$8</f>
        <v/>
      </c>
      <c r="F7" s="13">
        <f>E8*前提条件!$C$8</f>
        <v/>
      </c>
      <c r="G7" s="13">
        <f>F8*前提条件!$C$8</f>
        <v/>
      </c>
      <c r="H7" s="13">
        <f>G8*前提条件!$C$8</f>
        <v/>
      </c>
      <c r="I7" s="13">
        <f>H8*前提条件!$C$8</f>
        <v/>
      </c>
      <c r="J7" s="13">
        <f>I8*前提条件!$C$8</f>
        <v/>
      </c>
      <c r="K7" s="13">
        <f>J8*前提条件!$C$8</f>
        <v/>
      </c>
      <c r="L7" s="13">
        <f>K8*前提条件!$C$8</f>
        <v/>
      </c>
      <c r="M7" s="13">
        <f>L8*前提条件!$C$8</f>
        <v/>
      </c>
      <c r="N7" s="13">
        <f>M8*前提条件!$C$8</f>
        <v/>
      </c>
      <c r="O7" s="13">
        <f>N8*前提条件!$C$8</f>
        <v/>
      </c>
      <c r="P7" s="13">
        <f>O8*前提条件!$C$8</f>
        <v/>
      </c>
      <c r="Q7" s="13">
        <f>P8*前提条件!$C$8</f>
        <v/>
      </c>
      <c r="R7" s="13">
        <f>Q8*前提条件!$C$8</f>
        <v/>
      </c>
      <c r="S7" s="13">
        <f>R8*前提条件!$C$8</f>
        <v/>
      </c>
      <c r="T7" s="13">
        <f>S8*前提条件!$C$8</f>
        <v/>
      </c>
      <c r="U7" s="13">
        <f>T8*前提条件!$C$8</f>
        <v/>
      </c>
      <c r="V7" s="13">
        <f>U8*前提条件!$C$8</f>
        <v/>
      </c>
      <c r="W7" s="13">
        <f>V8*前提条件!$C$8</f>
        <v/>
      </c>
      <c r="X7" s="13">
        <f>W8*前提条件!$C$8</f>
        <v/>
      </c>
      <c r="Y7" s="13">
        <f>X8*前提条件!$C$8</f>
        <v/>
      </c>
      <c r="Z7" s="13">
        <f>Y8*前提条件!$C$8</f>
        <v/>
      </c>
      <c r="AA7" s="13">
        <f>Z8*前提条件!$C$8</f>
        <v/>
      </c>
      <c r="AB7" s="13">
        <f>AA8*前提条件!$C$8</f>
        <v/>
      </c>
      <c r="AC7" s="13">
        <f>AB8*前提条件!$C$8</f>
        <v/>
      </c>
      <c r="AD7" s="13">
        <f>AC8*前提条件!$C$8</f>
        <v/>
      </c>
      <c r="AE7" s="13">
        <f>AD8*前提条件!$C$8</f>
        <v/>
      </c>
      <c r="AF7" s="13">
        <f>AE8*前提条件!$C$8</f>
        <v/>
      </c>
      <c r="AG7" s="13">
        <f>AF8*前提条件!$C$8</f>
        <v/>
      </c>
      <c r="AH7" s="13">
        <f>AG8*前提条件!$C$8</f>
        <v/>
      </c>
      <c r="AI7" s="13">
        <f>AH8*前提条件!$C$8</f>
        <v/>
      </c>
      <c r="AJ7" s="13">
        <f>AI8*前提条件!$C$8</f>
        <v/>
      </c>
      <c r="AK7" s="13">
        <f>AJ8*前提条件!$C$8</f>
        <v/>
      </c>
      <c r="AL7" s="13">
        <f>AK8*前提条件!$C$8</f>
        <v/>
      </c>
      <c r="AM7" s="13">
        <f>AL8*前提条件!$C$8</f>
        <v/>
      </c>
      <c r="AN7" s="13">
        <f>AM8*前提条件!$C$8</f>
        <v/>
      </c>
      <c r="AO7" s="13">
        <f>AN8*前提条件!$C$8</f>
        <v/>
      </c>
      <c r="AP7" s="13">
        <f>AO8*前提条件!$C$8</f>
        <v/>
      </c>
      <c r="AQ7" s="13">
        <f>AP8*前提条件!$C$8</f>
        <v/>
      </c>
      <c r="AR7" s="13">
        <f>AQ8*前提条件!$C$8</f>
        <v/>
      </c>
      <c r="AS7" s="13">
        <f>AR8*前提条件!$C$8</f>
        <v/>
      </c>
      <c r="AT7" s="13">
        <f>AS8*前提条件!$C$8</f>
        <v/>
      </c>
      <c r="AU7" s="13">
        <f>AT8*前提条件!$C$8</f>
        <v/>
      </c>
      <c r="AV7" s="13">
        <f>AU8*前提条件!$C$8</f>
        <v/>
      </c>
      <c r="AW7" s="13">
        <f>AV8*前提条件!$C$8</f>
        <v/>
      </c>
      <c r="AX7" s="13">
        <f>AW8*前提条件!$C$8</f>
        <v/>
      </c>
      <c r="AY7" s="13">
        <f>AX8*前提条件!$C$8</f>
        <v/>
      </c>
      <c r="AZ7" s="13">
        <f>AY8*前提条件!$C$8</f>
        <v/>
      </c>
      <c r="BA7" s="13">
        <f>AZ8*前提条件!$C$8</f>
        <v/>
      </c>
      <c r="BB7" s="13">
        <f>BA8*前提条件!$C$8</f>
        <v/>
      </c>
      <c r="BC7" s="13">
        <f>BB8*前提条件!$C$8</f>
        <v/>
      </c>
      <c r="BD7" s="13">
        <f>BC8*前提条件!$C$8</f>
        <v/>
      </c>
      <c r="BE7" s="13">
        <f>BD8*前提条件!$C$8</f>
        <v/>
      </c>
      <c r="BF7" s="13">
        <f>BE8*前提条件!$C$8</f>
        <v/>
      </c>
      <c r="BG7" s="13">
        <f>BF8*前提条件!$C$8</f>
        <v/>
      </c>
      <c r="BH7" s="13">
        <f>BG8*前提条件!$C$8</f>
        <v/>
      </c>
      <c r="BI7" s="13">
        <f>BH8*前提条件!$C$8</f>
        <v/>
      </c>
      <c r="BJ7" s="13">
        <f>BI8*前提条件!$C$8</f>
        <v/>
      </c>
    </row>
    <row r="8">
      <c r="A8" t="inlineStr">
        <is>
          <t>有料店舗数</t>
        </is>
      </c>
      <c r="C8" s="13">
        <f>C6-C7</f>
        <v/>
      </c>
      <c r="D8" s="13">
        <f>C8+D6-D7</f>
        <v/>
      </c>
      <c r="E8" s="13">
        <f>D8+E6-E7</f>
        <v/>
      </c>
      <c r="F8" s="13">
        <f>E8+F6-F7</f>
        <v/>
      </c>
      <c r="G8" s="13">
        <f>F8+G6-G7</f>
        <v/>
      </c>
      <c r="H8" s="13">
        <f>G8+H6-H7</f>
        <v/>
      </c>
      <c r="I8" s="13">
        <f>H8+I6-I7</f>
        <v/>
      </c>
      <c r="J8" s="13">
        <f>I8+J6-J7</f>
        <v/>
      </c>
      <c r="K8" s="13">
        <f>J8+K6-K7</f>
        <v/>
      </c>
      <c r="L8" s="13">
        <f>K8+L6-L7</f>
        <v/>
      </c>
      <c r="M8" s="13">
        <f>L8+M6-M7</f>
        <v/>
      </c>
      <c r="N8" s="13">
        <f>M8+N6-N7</f>
        <v/>
      </c>
      <c r="O8" s="13">
        <f>N8+O6-O7</f>
        <v/>
      </c>
      <c r="P8" s="13">
        <f>O8+P6-P7</f>
        <v/>
      </c>
      <c r="Q8" s="13">
        <f>P8+Q6-Q7</f>
        <v/>
      </c>
      <c r="R8" s="13">
        <f>Q8+R6-R7</f>
        <v/>
      </c>
      <c r="S8" s="13">
        <f>R8+S6-S7</f>
        <v/>
      </c>
      <c r="T8" s="13">
        <f>S8+T6-T7</f>
        <v/>
      </c>
      <c r="U8" s="13">
        <f>T8+U6-U7</f>
        <v/>
      </c>
      <c r="V8" s="13">
        <f>U8+V6-V7</f>
        <v/>
      </c>
      <c r="W8" s="13">
        <f>V8+W6-W7</f>
        <v/>
      </c>
      <c r="X8" s="13">
        <f>W8+X6-X7</f>
        <v/>
      </c>
      <c r="Y8" s="13">
        <f>X8+Y6-Y7</f>
        <v/>
      </c>
      <c r="Z8" s="13">
        <f>Y8+Z6-Z7</f>
        <v/>
      </c>
      <c r="AA8" s="13">
        <f>Z8+AA6-AA7</f>
        <v/>
      </c>
      <c r="AB8" s="13">
        <f>AA8+AB6-AB7</f>
        <v/>
      </c>
      <c r="AC8" s="13">
        <f>AB8+AC6-AC7</f>
        <v/>
      </c>
      <c r="AD8" s="13">
        <f>AC8+AD6-AD7</f>
        <v/>
      </c>
      <c r="AE8" s="13">
        <f>AD8+AE6-AE7</f>
        <v/>
      </c>
      <c r="AF8" s="13">
        <f>AE8+AF6-AF7</f>
        <v/>
      </c>
      <c r="AG8" s="13">
        <f>AF8+AG6-AG7</f>
        <v/>
      </c>
      <c r="AH8" s="13">
        <f>AG8+AH6-AH7</f>
        <v/>
      </c>
      <c r="AI8" s="13">
        <f>AH8+AI6-AI7</f>
        <v/>
      </c>
      <c r="AJ8" s="13">
        <f>AI8+AJ6-AJ7</f>
        <v/>
      </c>
      <c r="AK8" s="13">
        <f>AJ8+AK6-AK7</f>
        <v/>
      </c>
      <c r="AL8" s="13">
        <f>AK8+AL6-AL7</f>
        <v/>
      </c>
      <c r="AM8" s="13">
        <f>AL8+AM6-AM7</f>
        <v/>
      </c>
      <c r="AN8" s="13">
        <f>AM8+AN6-AN7</f>
        <v/>
      </c>
      <c r="AO8" s="13">
        <f>AN8+AO6-AO7</f>
        <v/>
      </c>
      <c r="AP8" s="13">
        <f>AO8+AP6-AP7</f>
        <v/>
      </c>
      <c r="AQ8" s="13">
        <f>AP8+AQ6-AQ7</f>
        <v/>
      </c>
      <c r="AR8" s="13">
        <f>AQ8+AR6-AR7</f>
        <v/>
      </c>
      <c r="AS8" s="13">
        <f>AR8+AS6-AS7</f>
        <v/>
      </c>
      <c r="AT8" s="13">
        <f>AS8+AT6-AT7</f>
        <v/>
      </c>
      <c r="AU8" s="13">
        <f>AT8+AU6-AU7</f>
        <v/>
      </c>
      <c r="AV8" s="13">
        <f>AU8+AV6-AV7</f>
        <v/>
      </c>
      <c r="AW8" s="13">
        <f>AV8+AW6-AW7</f>
        <v/>
      </c>
      <c r="AX8" s="13">
        <f>AW8+AX6-AX7</f>
        <v/>
      </c>
      <c r="AY8" s="13">
        <f>AX8+AY6-AY7</f>
        <v/>
      </c>
      <c r="AZ8" s="13">
        <f>AY8+AZ6-AZ7</f>
        <v/>
      </c>
      <c r="BA8" s="13">
        <f>AZ8+BA6-BA7</f>
        <v/>
      </c>
      <c r="BB8" s="13">
        <f>BA8+BB6-BB7</f>
        <v/>
      </c>
      <c r="BC8" s="13">
        <f>BB8+BC6-BC7</f>
        <v/>
      </c>
      <c r="BD8" s="13">
        <f>BC8+BD6-BD7</f>
        <v/>
      </c>
      <c r="BE8" s="13">
        <f>BD8+BE6-BE7</f>
        <v/>
      </c>
      <c r="BF8" s="13">
        <f>BE8+BF6-BF7</f>
        <v/>
      </c>
      <c r="BG8" s="13">
        <f>BF8+BG6-BG7</f>
        <v/>
      </c>
      <c r="BH8" s="13">
        <f>BG8+BH6-BH7</f>
        <v/>
      </c>
      <c r="BI8" s="13">
        <f>BH8+BI6-BI7</f>
        <v/>
      </c>
      <c r="BJ8" s="13">
        <f>BI8+BJ6-BJ7</f>
        <v/>
      </c>
    </row>
    <row r="9">
      <c r="A9" t="inlineStr">
        <is>
          <t>トライアル中店舗</t>
        </is>
      </c>
      <c r="C9" s="13">
        <f>SUM(C5:C5)</f>
        <v/>
      </c>
      <c r="D9" s="13">
        <f>SUM(C5:D5)</f>
        <v/>
      </c>
      <c r="E9" s="13">
        <f>SUM(C5:E5)</f>
        <v/>
      </c>
      <c r="F9" s="13">
        <f>SUM(D5:F5)</f>
        <v/>
      </c>
      <c r="G9" s="13">
        <f>SUM(E5:G5)</f>
        <v/>
      </c>
      <c r="H9" s="13">
        <f>SUM(F5:H5)</f>
        <v/>
      </c>
      <c r="I9" s="13">
        <f>SUM(G5:I5)</f>
        <v/>
      </c>
      <c r="J9" s="13">
        <f>SUM(H5:J5)</f>
        <v/>
      </c>
      <c r="K9" s="13">
        <f>SUM(I5:K5)</f>
        <v/>
      </c>
      <c r="L9" s="13">
        <f>SUM(J5:L5)</f>
        <v/>
      </c>
      <c r="M9" s="13">
        <f>SUM(K5:M5)</f>
        <v/>
      </c>
      <c r="N9" s="13">
        <f>SUM(L5:N5)</f>
        <v/>
      </c>
      <c r="O9" s="13">
        <f>SUM(M5:O5)</f>
        <v/>
      </c>
      <c r="P9" s="13">
        <f>SUM(N5:P5)</f>
        <v/>
      </c>
      <c r="Q9" s="13">
        <f>SUM(O5:Q5)</f>
        <v/>
      </c>
      <c r="R9" s="13">
        <f>SUM(P5:R5)</f>
        <v/>
      </c>
      <c r="S9" s="13">
        <f>SUM(Q5:S5)</f>
        <v/>
      </c>
      <c r="T9" s="13">
        <f>SUM(R5:T5)</f>
        <v/>
      </c>
      <c r="U9" s="13">
        <f>SUM(S5:U5)</f>
        <v/>
      </c>
      <c r="V9" s="13">
        <f>SUM(T5:V5)</f>
        <v/>
      </c>
      <c r="W9" s="13">
        <f>SUM(U5:W5)</f>
        <v/>
      </c>
      <c r="X9" s="13">
        <f>SUM(V5:X5)</f>
        <v/>
      </c>
      <c r="Y9" s="13">
        <f>SUM(W5:Y5)</f>
        <v/>
      </c>
      <c r="Z9" s="13">
        <f>SUM(X5:Z5)</f>
        <v/>
      </c>
      <c r="AA9" s="13">
        <f>SUM(Y5:AA5)</f>
        <v/>
      </c>
      <c r="AB9" s="13">
        <f>SUM(Z5:AB5)</f>
        <v/>
      </c>
      <c r="AC9" s="13">
        <f>SUM(AA5:AC5)</f>
        <v/>
      </c>
      <c r="AD9" s="13">
        <f>SUM(AB5:AD5)</f>
        <v/>
      </c>
      <c r="AE9" s="13">
        <f>SUM(AC5:AE5)</f>
        <v/>
      </c>
      <c r="AF9" s="13">
        <f>SUM(AD5:AF5)</f>
        <v/>
      </c>
      <c r="AG9" s="13">
        <f>SUM(AE5:AG5)</f>
        <v/>
      </c>
      <c r="AH9" s="13">
        <f>SUM(AF5:AH5)</f>
        <v/>
      </c>
      <c r="AI9" s="13">
        <f>SUM(AG5:AI5)</f>
        <v/>
      </c>
      <c r="AJ9" s="13">
        <f>SUM(AH5:AJ5)</f>
        <v/>
      </c>
      <c r="AK9" s="13">
        <f>SUM(AI5:AK5)</f>
        <v/>
      </c>
      <c r="AL9" s="13">
        <f>SUM(AJ5:AL5)</f>
        <v/>
      </c>
      <c r="AM9" s="13">
        <f>SUM(AK5:AM5)</f>
        <v/>
      </c>
      <c r="AN9" s="13">
        <f>SUM(AL5:AN5)</f>
        <v/>
      </c>
      <c r="AO9" s="13">
        <f>SUM(AM5:AO5)</f>
        <v/>
      </c>
      <c r="AP9" s="13">
        <f>SUM(AN5:AP5)</f>
        <v/>
      </c>
      <c r="AQ9" s="13">
        <f>SUM(AO5:AQ5)</f>
        <v/>
      </c>
      <c r="AR9" s="13">
        <f>SUM(AP5:AR5)</f>
        <v/>
      </c>
      <c r="AS9" s="13">
        <f>SUM(AQ5:AS5)</f>
        <v/>
      </c>
      <c r="AT9" s="13">
        <f>SUM(AR5:AT5)</f>
        <v/>
      </c>
      <c r="AU9" s="13">
        <f>SUM(AS5:AU5)</f>
        <v/>
      </c>
      <c r="AV9" s="13">
        <f>SUM(AT5:AV5)</f>
        <v/>
      </c>
      <c r="AW9" s="13">
        <f>SUM(AU5:AW5)</f>
        <v/>
      </c>
      <c r="AX9" s="13">
        <f>SUM(AV5:AX5)</f>
        <v/>
      </c>
      <c r="AY9" s="13">
        <f>SUM(AW5:AY5)</f>
        <v/>
      </c>
      <c r="AZ9" s="13">
        <f>SUM(AX5:AZ5)</f>
        <v/>
      </c>
      <c r="BA9" s="13">
        <f>SUM(AY5:BA5)</f>
        <v/>
      </c>
      <c r="BB9" s="13">
        <f>SUM(AZ5:BB5)</f>
        <v/>
      </c>
      <c r="BC9" s="13">
        <f>SUM(BA5:BC5)</f>
        <v/>
      </c>
      <c r="BD9" s="13">
        <f>SUM(BB5:BD5)</f>
        <v/>
      </c>
      <c r="BE9" s="13">
        <f>SUM(BC5:BE5)</f>
        <v/>
      </c>
      <c r="BF9" s="13">
        <f>SUM(BD5:BF5)</f>
        <v/>
      </c>
      <c r="BG9" s="13">
        <f>SUM(BE5:BG5)</f>
        <v/>
      </c>
      <c r="BH9" s="13">
        <f>SUM(BF5:BH5)</f>
        <v/>
      </c>
      <c r="BI9" s="13">
        <f>SUM(BG5:BI5)</f>
        <v/>
      </c>
      <c r="BJ9" s="13">
        <f>SUM(BH5:BJ5)</f>
        <v/>
      </c>
    </row>
    <row r="10">
      <c r="A10" t="inlineStr">
        <is>
          <t>平均月額</t>
        </is>
      </c>
      <c r="C10" s="13">
        <f>前提条件!$C$15</f>
        <v/>
      </c>
      <c r="D10" s="13">
        <f>前提条件!$C$15</f>
        <v/>
      </c>
      <c r="E10" s="13">
        <f>前提条件!$C$15</f>
        <v/>
      </c>
      <c r="F10" s="13">
        <f>前提条件!$C$15</f>
        <v/>
      </c>
      <c r="G10" s="13">
        <f>前提条件!$C$15</f>
        <v/>
      </c>
      <c r="H10" s="13">
        <f>前提条件!$C$15</f>
        <v/>
      </c>
      <c r="I10" s="13">
        <f>前提条件!$C$15</f>
        <v/>
      </c>
      <c r="J10" s="13">
        <f>前提条件!$C$15</f>
        <v/>
      </c>
      <c r="K10" s="13">
        <f>前提条件!$C$15</f>
        <v/>
      </c>
      <c r="L10" s="13">
        <f>前提条件!$C$15</f>
        <v/>
      </c>
      <c r="M10" s="13">
        <f>前提条件!$C$15</f>
        <v/>
      </c>
      <c r="N10" s="13">
        <f>前提条件!$C$15</f>
        <v/>
      </c>
      <c r="O10" s="13">
        <f>前提条件!$C$15</f>
        <v/>
      </c>
      <c r="P10" s="13">
        <f>前提条件!$C$15</f>
        <v/>
      </c>
      <c r="Q10" s="13">
        <f>前提条件!$C$15</f>
        <v/>
      </c>
      <c r="R10" s="13">
        <f>前提条件!$C$15</f>
        <v/>
      </c>
      <c r="S10" s="13">
        <f>前提条件!$C$15</f>
        <v/>
      </c>
      <c r="T10" s="13">
        <f>前提条件!$C$15</f>
        <v/>
      </c>
      <c r="U10" s="13">
        <f>前提条件!$C$15</f>
        <v/>
      </c>
      <c r="V10" s="13">
        <f>前提条件!$C$15</f>
        <v/>
      </c>
      <c r="W10" s="13">
        <f>前提条件!$C$15</f>
        <v/>
      </c>
      <c r="X10" s="13">
        <f>前提条件!$C$15</f>
        <v/>
      </c>
      <c r="Y10" s="13">
        <f>前提条件!$C$15</f>
        <v/>
      </c>
      <c r="Z10" s="13">
        <f>前提条件!$C$15</f>
        <v/>
      </c>
      <c r="AA10" s="13">
        <f>前提条件!$C$15</f>
        <v/>
      </c>
      <c r="AB10" s="13">
        <f>前提条件!$C$15</f>
        <v/>
      </c>
      <c r="AC10" s="13">
        <f>前提条件!$C$15</f>
        <v/>
      </c>
      <c r="AD10" s="13">
        <f>前提条件!$C$15</f>
        <v/>
      </c>
      <c r="AE10" s="13">
        <f>前提条件!$C$15</f>
        <v/>
      </c>
      <c r="AF10" s="13">
        <f>前提条件!$C$15</f>
        <v/>
      </c>
      <c r="AG10" s="13">
        <f>前提条件!$C$15</f>
        <v/>
      </c>
      <c r="AH10" s="13">
        <f>前提条件!$C$15</f>
        <v/>
      </c>
      <c r="AI10" s="13">
        <f>前提条件!$C$15</f>
        <v/>
      </c>
      <c r="AJ10" s="13">
        <f>前提条件!$C$15</f>
        <v/>
      </c>
      <c r="AK10" s="13">
        <f>前提条件!$C$15</f>
        <v/>
      </c>
      <c r="AL10" s="13">
        <f>前提条件!$C$15</f>
        <v/>
      </c>
      <c r="AM10" s="13">
        <f>前提条件!$C$15</f>
        <v/>
      </c>
      <c r="AN10" s="13">
        <f>前提条件!$C$15</f>
        <v/>
      </c>
      <c r="AO10" s="13">
        <f>前提条件!$C$15</f>
        <v/>
      </c>
      <c r="AP10" s="13">
        <f>前提条件!$C$15</f>
        <v/>
      </c>
      <c r="AQ10" s="13">
        <f>前提条件!$C$15</f>
        <v/>
      </c>
      <c r="AR10" s="13">
        <f>前提条件!$C$15</f>
        <v/>
      </c>
      <c r="AS10" s="13">
        <f>前提条件!$C$15</f>
        <v/>
      </c>
      <c r="AT10" s="13">
        <f>前提条件!$C$15</f>
        <v/>
      </c>
      <c r="AU10" s="13">
        <f>前提条件!$C$15</f>
        <v/>
      </c>
      <c r="AV10" s="13">
        <f>前提条件!$C$15</f>
        <v/>
      </c>
      <c r="AW10" s="13">
        <f>前提条件!$C$15</f>
        <v/>
      </c>
      <c r="AX10" s="13">
        <f>前提条件!$C$15</f>
        <v/>
      </c>
      <c r="AY10" s="13">
        <f>前提条件!$C$15</f>
        <v/>
      </c>
      <c r="AZ10" s="13">
        <f>前提条件!$C$15</f>
        <v/>
      </c>
      <c r="BA10" s="13">
        <f>前提条件!$C$15</f>
        <v/>
      </c>
      <c r="BB10" s="13">
        <f>前提条件!$C$15</f>
        <v/>
      </c>
      <c r="BC10" s="13">
        <f>前提条件!$C$15</f>
        <v/>
      </c>
      <c r="BD10" s="13">
        <f>前提条件!$C$15</f>
        <v/>
      </c>
      <c r="BE10" s="13">
        <f>前提条件!$C$15</f>
        <v/>
      </c>
      <c r="BF10" s="13">
        <f>前提条件!$C$15</f>
        <v/>
      </c>
      <c r="BG10" s="13">
        <f>前提条件!$C$15</f>
        <v/>
      </c>
      <c r="BH10" s="13">
        <f>前提条件!$C$15</f>
        <v/>
      </c>
      <c r="BI10" s="13">
        <f>前提条件!$C$15</f>
        <v/>
      </c>
      <c r="BJ10" s="13">
        <f>前提条件!$C$15</f>
        <v/>
      </c>
    </row>
    <row r="11">
      <c r="A11" t="inlineStr">
        <is>
          <t>サブスク売上</t>
        </is>
      </c>
      <c r="C11" s="13">
        <f>C8*C10</f>
        <v/>
      </c>
      <c r="D11" s="13">
        <f>D8*D10</f>
        <v/>
      </c>
      <c r="E11" s="13">
        <f>E8*E10</f>
        <v/>
      </c>
      <c r="F11" s="13">
        <f>F8*F10</f>
        <v/>
      </c>
      <c r="G11" s="13">
        <f>G8*G10</f>
        <v/>
      </c>
      <c r="H11" s="13">
        <f>H8*H10</f>
        <v/>
      </c>
      <c r="I11" s="13">
        <f>I8*I10</f>
        <v/>
      </c>
      <c r="J11" s="13">
        <f>J8*J10</f>
        <v/>
      </c>
      <c r="K11" s="13">
        <f>K8*K10</f>
        <v/>
      </c>
      <c r="L11" s="13">
        <f>L8*L10</f>
        <v/>
      </c>
      <c r="M11" s="13">
        <f>M8*M10</f>
        <v/>
      </c>
      <c r="N11" s="13">
        <f>N8*N10</f>
        <v/>
      </c>
      <c r="O11" s="13">
        <f>O8*O10</f>
        <v/>
      </c>
      <c r="P11" s="13">
        <f>P8*P10</f>
        <v/>
      </c>
      <c r="Q11" s="13">
        <f>Q8*Q10</f>
        <v/>
      </c>
      <c r="R11" s="13">
        <f>R8*R10</f>
        <v/>
      </c>
      <c r="S11" s="13">
        <f>S8*S10</f>
        <v/>
      </c>
      <c r="T11" s="13">
        <f>T8*T10</f>
        <v/>
      </c>
      <c r="U11" s="13">
        <f>U8*U10</f>
        <v/>
      </c>
      <c r="V11" s="13">
        <f>V8*V10</f>
        <v/>
      </c>
      <c r="W11" s="13">
        <f>W8*W10</f>
        <v/>
      </c>
      <c r="X11" s="13">
        <f>X8*X10</f>
        <v/>
      </c>
      <c r="Y11" s="13">
        <f>Y8*Y10</f>
        <v/>
      </c>
      <c r="Z11" s="13">
        <f>Z8*Z10</f>
        <v/>
      </c>
      <c r="AA11" s="13">
        <f>AA8*AA10</f>
        <v/>
      </c>
      <c r="AB11" s="13">
        <f>AB8*AB10</f>
        <v/>
      </c>
      <c r="AC11" s="13">
        <f>AC8*AC10</f>
        <v/>
      </c>
      <c r="AD11" s="13">
        <f>AD8*AD10</f>
        <v/>
      </c>
      <c r="AE11" s="13">
        <f>AE8*AE10</f>
        <v/>
      </c>
      <c r="AF11" s="13">
        <f>AF8*AF10</f>
        <v/>
      </c>
      <c r="AG11" s="13">
        <f>AG8*AG10</f>
        <v/>
      </c>
      <c r="AH11" s="13">
        <f>AH8*AH10</f>
        <v/>
      </c>
      <c r="AI11" s="13">
        <f>AI8*AI10</f>
        <v/>
      </c>
      <c r="AJ11" s="13">
        <f>AJ8*AJ10</f>
        <v/>
      </c>
      <c r="AK11" s="13">
        <f>AK8*AK10</f>
        <v/>
      </c>
      <c r="AL11" s="13">
        <f>AL8*AL10</f>
        <v/>
      </c>
      <c r="AM11" s="13">
        <f>AM8*AM10</f>
        <v/>
      </c>
      <c r="AN11" s="13">
        <f>AN8*AN10</f>
        <v/>
      </c>
      <c r="AO11" s="13">
        <f>AO8*AO10</f>
        <v/>
      </c>
      <c r="AP11" s="13">
        <f>AP8*AP10</f>
        <v/>
      </c>
      <c r="AQ11" s="13">
        <f>AQ8*AQ10</f>
        <v/>
      </c>
      <c r="AR11" s="13">
        <f>AR8*AR10</f>
        <v/>
      </c>
      <c r="AS11" s="13">
        <f>AS8*AS10</f>
        <v/>
      </c>
      <c r="AT11" s="13">
        <f>AT8*AT10</f>
        <v/>
      </c>
      <c r="AU11" s="13">
        <f>AU8*AU10</f>
        <v/>
      </c>
      <c r="AV11" s="13">
        <f>AV8*AV10</f>
        <v/>
      </c>
      <c r="AW11" s="13">
        <f>AW8*AW10</f>
        <v/>
      </c>
      <c r="AX11" s="13">
        <f>AX8*AX10</f>
        <v/>
      </c>
      <c r="AY11" s="13">
        <f>AY8*AY10</f>
        <v/>
      </c>
      <c r="AZ11" s="13">
        <f>AZ8*AZ10</f>
        <v/>
      </c>
      <c r="BA11" s="13">
        <f>BA8*BA10</f>
        <v/>
      </c>
      <c r="BB11" s="13">
        <f>BB8*BB10</f>
        <v/>
      </c>
      <c r="BC11" s="13">
        <f>BC8*BC10</f>
        <v/>
      </c>
      <c r="BD11" s="13">
        <f>BD8*BD10</f>
        <v/>
      </c>
      <c r="BE11" s="13">
        <f>BE8*BE10</f>
        <v/>
      </c>
      <c r="BF11" s="13">
        <f>BF8*BF10</f>
        <v/>
      </c>
      <c r="BG11" s="13">
        <f>BG8*BG10</f>
        <v/>
      </c>
      <c r="BH11" s="13">
        <f>BH8*BH10</f>
        <v/>
      </c>
      <c r="BI11" s="13">
        <f>BI8*BI10</f>
        <v/>
      </c>
      <c r="BJ11" s="13">
        <f>BJ8*BJ10</f>
        <v/>
      </c>
    </row>
    <row r="12">
      <c r="A12" t="inlineStr">
        <is>
          <t>成功報酬売上</t>
        </is>
      </c>
      <c r="C12" s="13">
        <f>C8*前提条件!$C$16*前提条件!$C$17</f>
        <v/>
      </c>
      <c r="D12" s="13">
        <f>D8*前提条件!$C$16*前提条件!$C$17</f>
        <v/>
      </c>
      <c r="E12" s="13">
        <f>E8*前提条件!$C$16*前提条件!$C$17</f>
        <v/>
      </c>
      <c r="F12" s="13">
        <f>F8*前提条件!$C$16*前提条件!$C$17</f>
        <v/>
      </c>
      <c r="G12" s="13">
        <f>G8*前提条件!$C$16*前提条件!$C$17</f>
        <v/>
      </c>
      <c r="H12" s="13">
        <f>H8*前提条件!$C$16*前提条件!$C$17</f>
        <v/>
      </c>
      <c r="I12" s="13">
        <f>I8*前提条件!$C$16*前提条件!$C$17</f>
        <v/>
      </c>
      <c r="J12" s="13">
        <f>J8*前提条件!$C$16*前提条件!$C$17</f>
        <v/>
      </c>
      <c r="K12" s="13">
        <f>K8*前提条件!$C$16*前提条件!$C$17</f>
        <v/>
      </c>
      <c r="L12" s="13">
        <f>L8*前提条件!$C$16*前提条件!$C$17</f>
        <v/>
      </c>
      <c r="M12" s="13">
        <f>M8*前提条件!$C$16*前提条件!$C$17</f>
        <v/>
      </c>
      <c r="N12" s="13">
        <f>N8*前提条件!$C$16*前提条件!$C$17</f>
        <v/>
      </c>
      <c r="O12" s="13">
        <f>O8*前提条件!$C$16*前提条件!$C$17</f>
        <v/>
      </c>
      <c r="P12" s="13">
        <f>P8*前提条件!$C$16*前提条件!$C$17</f>
        <v/>
      </c>
      <c r="Q12" s="13">
        <f>Q8*前提条件!$C$16*前提条件!$C$17</f>
        <v/>
      </c>
      <c r="R12" s="13">
        <f>R8*前提条件!$C$16*前提条件!$C$17</f>
        <v/>
      </c>
      <c r="S12" s="13">
        <f>S8*前提条件!$C$16*前提条件!$C$17</f>
        <v/>
      </c>
      <c r="T12" s="13">
        <f>T8*前提条件!$C$16*前提条件!$C$17</f>
        <v/>
      </c>
      <c r="U12" s="13">
        <f>U8*前提条件!$C$16*前提条件!$C$17</f>
        <v/>
      </c>
      <c r="V12" s="13">
        <f>V8*前提条件!$C$16*前提条件!$C$17</f>
        <v/>
      </c>
      <c r="W12" s="13">
        <f>W8*前提条件!$C$16*前提条件!$C$17</f>
        <v/>
      </c>
      <c r="X12" s="13">
        <f>X8*前提条件!$C$16*前提条件!$C$17</f>
        <v/>
      </c>
      <c r="Y12" s="13">
        <f>Y8*前提条件!$C$16*前提条件!$C$17</f>
        <v/>
      </c>
      <c r="Z12" s="13">
        <f>Z8*前提条件!$C$16*前提条件!$C$17</f>
        <v/>
      </c>
      <c r="AA12" s="13">
        <f>AA8*前提条件!$C$16*前提条件!$C$17</f>
        <v/>
      </c>
      <c r="AB12" s="13">
        <f>AB8*前提条件!$C$16*前提条件!$C$17</f>
        <v/>
      </c>
      <c r="AC12" s="13">
        <f>AC8*前提条件!$C$16*前提条件!$C$17</f>
        <v/>
      </c>
      <c r="AD12" s="13">
        <f>AD8*前提条件!$C$16*前提条件!$C$17</f>
        <v/>
      </c>
      <c r="AE12" s="13">
        <f>AE8*前提条件!$C$16*前提条件!$C$17</f>
        <v/>
      </c>
      <c r="AF12" s="13">
        <f>AF8*前提条件!$C$16*前提条件!$C$17</f>
        <v/>
      </c>
      <c r="AG12" s="13">
        <f>AG8*前提条件!$C$16*前提条件!$C$17</f>
        <v/>
      </c>
      <c r="AH12" s="13">
        <f>AH8*前提条件!$C$16*前提条件!$C$17</f>
        <v/>
      </c>
      <c r="AI12" s="13">
        <f>AI8*前提条件!$C$16*前提条件!$C$17</f>
        <v/>
      </c>
      <c r="AJ12" s="13">
        <f>AJ8*前提条件!$C$16*前提条件!$C$17</f>
        <v/>
      </c>
      <c r="AK12" s="13">
        <f>AK8*前提条件!$C$16*前提条件!$C$17</f>
        <v/>
      </c>
      <c r="AL12" s="13">
        <f>AL8*前提条件!$C$16*前提条件!$C$17</f>
        <v/>
      </c>
      <c r="AM12" s="13">
        <f>AM8*前提条件!$C$16*前提条件!$C$17</f>
        <v/>
      </c>
      <c r="AN12" s="13">
        <f>AN8*前提条件!$C$16*前提条件!$C$17</f>
        <v/>
      </c>
      <c r="AO12" s="13">
        <f>AO8*前提条件!$C$16*前提条件!$C$17</f>
        <v/>
      </c>
      <c r="AP12" s="13">
        <f>AP8*前提条件!$C$16*前提条件!$C$17</f>
        <v/>
      </c>
      <c r="AQ12" s="13">
        <f>AQ8*前提条件!$C$16*前提条件!$C$17</f>
        <v/>
      </c>
      <c r="AR12" s="13">
        <f>AR8*前提条件!$C$16*前提条件!$C$17</f>
        <v/>
      </c>
      <c r="AS12" s="13">
        <f>AS8*前提条件!$C$16*前提条件!$C$17</f>
        <v/>
      </c>
      <c r="AT12" s="13">
        <f>AT8*前提条件!$C$16*前提条件!$C$17</f>
        <v/>
      </c>
      <c r="AU12" s="13">
        <f>AU8*前提条件!$C$16*前提条件!$C$17</f>
        <v/>
      </c>
      <c r="AV12" s="13">
        <f>AV8*前提条件!$C$16*前提条件!$C$17</f>
        <v/>
      </c>
      <c r="AW12" s="13">
        <f>AW8*前提条件!$C$16*前提条件!$C$17</f>
        <v/>
      </c>
      <c r="AX12" s="13">
        <f>AX8*前提条件!$C$16*前提条件!$C$17</f>
        <v/>
      </c>
      <c r="AY12" s="13">
        <f>AY8*前提条件!$C$16*前提条件!$C$17</f>
        <v/>
      </c>
      <c r="AZ12" s="13">
        <f>AZ8*前提条件!$C$16*前提条件!$C$17</f>
        <v/>
      </c>
      <c r="BA12" s="13">
        <f>BA8*前提条件!$C$16*前提条件!$C$17</f>
        <v/>
      </c>
      <c r="BB12" s="13">
        <f>BB8*前提条件!$C$16*前提条件!$C$17</f>
        <v/>
      </c>
      <c r="BC12" s="13">
        <f>BC8*前提条件!$C$16*前提条件!$C$17</f>
        <v/>
      </c>
      <c r="BD12" s="13">
        <f>BD8*前提条件!$C$16*前提条件!$C$17</f>
        <v/>
      </c>
      <c r="BE12" s="13">
        <f>BE8*前提条件!$C$16*前提条件!$C$17</f>
        <v/>
      </c>
      <c r="BF12" s="13">
        <f>BF8*前提条件!$C$16*前提条件!$C$17</f>
        <v/>
      </c>
      <c r="BG12" s="13">
        <f>BG8*前提条件!$C$16*前提条件!$C$17</f>
        <v/>
      </c>
      <c r="BH12" s="13">
        <f>BH8*前提条件!$C$16*前提条件!$C$17</f>
        <v/>
      </c>
      <c r="BI12" s="13">
        <f>BI8*前提条件!$C$16*前提条件!$C$17</f>
        <v/>
      </c>
      <c r="BJ12" s="13">
        <f>BJ8*前提条件!$C$16*前提条件!$C$17</f>
        <v/>
      </c>
    </row>
    <row r="13">
      <c r="A13" s="5" t="inlineStr">
        <is>
          <t>売上合計</t>
        </is>
      </c>
      <c r="B13" s="5" t="n"/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  <c r="M13" s="14">
        <f>M11+M12</f>
        <v/>
      </c>
      <c r="N13" s="14">
        <f>N11+N12</f>
        <v/>
      </c>
      <c r="O13" s="14">
        <f>O11+O12</f>
        <v/>
      </c>
      <c r="P13" s="14">
        <f>P11+P12</f>
        <v/>
      </c>
      <c r="Q13" s="14">
        <f>Q11+Q12</f>
        <v/>
      </c>
      <c r="R13" s="14">
        <f>R11+R12</f>
        <v/>
      </c>
      <c r="S13" s="14">
        <f>S11+S12</f>
        <v/>
      </c>
      <c r="T13" s="14">
        <f>T11+T12</f>
        <v/>
      </c>
      <c r="U13" s="14">
        <f>U11+U12</f>
        <v/>
      </c>
      <c r="V13" s="14">
        <f>V11+V12</f>
        <v/>
      </c>
      <c r="W13" s="14">
        <f>W11+W12</f>
        <v/>
      </c>
      <c r="X13" s="14">
        <f>X11+X12</f>
        <v/>
      </c>
      <c r="Y13" s="14">
        <f>Y11+Y12</f>
        <v/>
      </c>
      <c r="Z13" s="14">
        <f>Z11+Z12</f>
        <v/>
      </c>
      <c r="AA13" s="14">
        <f>AA11+AA12</f>
        <v/>
      </c>
      <c r="AB13" s="14">
        <f>AB11+AB12</f>
        <v/>
      </c>
      <c r="AC13" s="14">
        <f>AC11+AC12</f>
        <v/>
      </c>
      <c r="AD13" s="14">
        <f>AD11+AD12</f>
        <v/>
      </c>
      <c r="AE13" s="14">
        <f>AE11+AE12</f>
        <v/>
      </c>
      <c r="AF13" s="14">
        <f>AF11+AF12</f>
        <v/>
      </c>
      <c r="AG13" s="14">
        <f>AG11+AG12</f>
        <v/>
      </c>
      <c r="AH13" s="14">
        <f>AH11+AH12</f>
        <v/>
      </c>
      <c r="AI13" s="14">
        <f>AI11+AI12</f>
        <v/>
      </c>
      <c r="AJ13" s="14">
        <f>AJ11+AJ12</f>
        <v/>
      </c>
      <c r="AK13" s="14">
        <f>AK11+AK12</f>
        <v/>
      </c>
      <c r="AL13" s="14">
        <f>AL11+AL12</f>
        <v/>
      </c>
      <c r="AM13" s="14">
        <f>AM11+AM12</f>
        <v/>
      </c>
      <c r="AN13" s="14">
        <f>AN11+AN12</f>
        <v/>
      </c>
      <c r="AO13" s="14">
        <f>AO11+AO12</f>
        <v/>
      </c>
      <c r="AP13" s="14">
        <f>AP11+AP12</f>
        <v/>
      </c>
      <c r="AQ13" s="14">
        <f>AQ11+AQ12</f>
        <v/>
      </c>
      <c r="AR13" s="14">
        <f>AR11+AR12</f>
        <v/>
      </c>
      <c r="AS13" s="14">
        <f>AS11+AS12</f>
        <v/>
      </c>
      <c r="AT13" s="14">
        <f>AT11+AT12</f>
        <v/>
      </c>
      <c r="AU13" s="14">
        <f>AU11+AU12</f>
        <v/>
      </c>
      <c r="AV13" s="14">
        <f>AV11+AV12</f>
        <v/>
      </c>
      <c r="AW13" s="14">
        <f>AW11+AW12</f>
        <v/>
      </c>
      <c r="AX13" s="14">
        <f>AX11+AX12</f>
        <v/>
      </c>
      <c r="AY13" s="14">
        <f>AY11+AY12</f>
        <v/>
      </c>
      <c r="AZ13" s="14">
        <f>AZ11+AZ12</f>
        <v/>
      </c>
      <c r="BA13" s="14">
        <f>BA11+BA12</f>
        <v/>
      </c>
      <c r="BB13" s="14">
        <f>BB11+BB12</f>
        <v/>
      </c>
      <c r="BC13" s="14">
        <f>BC11+BC12</f>
        <v/>
      </c>
      <c r="BD13" s="14">
        <f>BD11+BD12</f>
        <v/>
      </c>
      <c r="BE13" s="14">
        <f>BE11+BE12</f>
        <v/>
      </c>
      <c r="BF13" s="14">
        <f>BF11+BF12</f>
        <v/>
      </c>
      <c r="BG13" s="14">
        <f>BG11+BG12</f>
        <v/>
      </c>
      <c r="BH13" s="14">
        <f>BH11+BH12</f>
        <v/>
      </c>
      <c r="BI13" s="14">
        <f>BI11+BI12</f>
        <v/>
      </c>
      <c r="BJ13" s="13">
        <f>BJ11+BJ12</f>
        <v/>
      </c>
    </row>
    <row r="14">
      <c r="A14" t="inlineStr">
        <is>
          <t>決済手数料</t>
        </is>
      </c>
      <c r="C14" s="13">
        <f>C13*前提条件!$C$18</f>
        <v/>
      </c>
      <c r="D14" s="13">
        <f>D13*前提条件!$C$18</f>
        <v/>
      </c>
      <c r="E14" s="13">
        <f>E13*前提条件!$C$18</f>
        <v/>
      </c>
      <c r="F14" s="13">
        <f>F13*前提条件!$C$18</f>
        <v/>
      </c>
      <c r="G14" s="13">
        <f>G13*前提条件!$C$18</f>
        <v/>
      </c>
      <c r="H14" s="13">
        <f>H13*前提条件!$C$18</f>
        <v/>
      </c>
      <c r="I14" s="13">
        <f>I13*前提条件!$C$18</f>
        <v/>
      </c>
      <c r="J14" s="13">
        <f>J13*前提条件!$C$18</f>
        <v/>
      </c>
      <c r="K14" s="13">
        <f>K13*前提条件!$C$18</f>
        <v/>
      </c>
      <c r="L14" s="13">
        <f>L13*前提条件!$C$18</f>
        <v/>
      </c>
      <c r="M14" s="13">
        <f>M13*前提条件!$C$18</f>
        <v/>
      </c>
      <c r="N14" s="13">
        <f>N13*前提条件!$C$18</f>
        <v/>
      </c>
      <c r="O14" s="13">
        <f>O13*前提条件!$C$18</f>
        <v/>
      </c>
      <c r="P14" s="13">
        <f>P13*前提条件!$C$18</f>
        <v/>
      </c>
      <c r="Q14" s="13">
        <f>Q13*前提条件!$C$18</f>
        <v/>
      </c>
      <c r="R14" s="13">
        <f>R13*前提条件!$C$18</f>
        <v/>
      </c>
      <c r="S14" s="13">
        <f>S13*前提条件!$C$18</f>
        <v/>
      </c>
      <c r="T14" s="13">
        <f>T13*前提条件!$C$18</f>
        <v/>
      </c>
      <c r="U14" s="13">
        <f>U13*前提条件!$C$18</f>
        <v/>
      </c>
      <c r="V14" s="13">
        <f>V13*前提条件!$C$18</f>
        <v/>
      </c>
      <c r="W14" s="13">
        <f>W13*前提条件!$C$18</f>
        <v/>
      </c>
      <c r="X14" s="13">
        <f>X13*前提条件!$C$18</f>
        <v/>
      </c>
      <c r="Y14" s="13">
        <f>Y13*前提条件!$C$18</f>
        <v/>
      </c>
      <c r="Z14" s="13">
        <f>Z13*前提条件!$C$18</f>
        <v/>
      </c>
      <c r="AA14" s="13">
        <f>AA13*前提条件!$C$18</f>
        <v/>
      </c>
      <c r="AB14" s="13">
        <f>AB13*前提条件!$C$18</f>
        <v/>
      </c>
      <c r="AC14" s="13">
        <f>AC13*前提条件!$C$18</f>
        <v/>
      </c>
      <c r="AD14" s="13">
        <f>AD13*前提条件!$C$18</f>
        <v/>
      </c>
      <c r="AE14" s="13">
        <f>AE13*前提条件!$C$18</f>
        <v/>
      </c>
      <c r="AF14" s="13">
        <f>AF13*前提条件!$C$18</f>
        <v/>
      </c>
      <c r="AG14" s="13">
        <f>AG13*前提条件!$C$18</f>
        <v/>
      </c>
      <c r="AH14" s="13">
        <f>AH13*前提条件!$C$18</f>
        <v/>
      </c>
      <c r="AI14" s="13">
        <f>AI13*前提条件!$C$18</f>
        <v/>
      </c>
      <c r="AJ14" s="13">
        <f>AJ13*前提条件!$C$18</f>
        <v/>
      </c>
      <c r="AK14" s="13">
        <f>AK13*前提条件!$C$18</f>
        <v/>
      </c>
      <c r="AL14" s="13">
        <f>AL13*前提条件!$C$18</f>
        <v/>
      </c>
      <c r="AM14" s="13">
        <f>AM13*前提条件!$C$18</f>
        <v/>
      </c>
      <c r="AN14" s="13">
        <f>AN13*前提条件!$C$18</f>
        <v/>
      </c>
      <c r="AO14" s="13">
        <f>AO13*前提条件!$C$18</f>
        <v/>
      </c>
      <c r="AP14" s="13">
        <f>AP13*前提条件!$C$18</f>
        <v/>
      </c>
      <c r="AQ14" s="13">
        <f>AQ13*前提条件!$C$18</f>
        <v/>
      </c>
      <c r="AR14" s="13">
        <f>AR13*前提条件!$C$18</f>
        <v/>
      </c>
      <c r="AS14" s="13">
        <f>AS13*前提条件!$C$18</f>
        <v/>
      </c>
      <c r="AT14" s="13">
        <f>AT13*前提条件!$C$18</f>
        <v/>
      </c>
      <c r="AU14" s="13">
        <f>AU13*前提条件!$C$18</f>
        <v/>
      </c>
      <c r="AV14" s="13">
        <f>AV13*前提条件!$C$18</f>
        <v/>
      </c>
      <c r="AW14" s="13">
        <f>AW13*前提条件!$C$18</f>
        <v/>
      </c>
      <c r="AX14" s="13">
        <f>AX13*前提条件!$C$18</f>
        <v/>
      </c>
      <c r="AY14" s="13">
        <f>AY13*前提条件!$C$18</f>
        <v/>
      </c>
      <c r="AZ14" s="13">
        <f>AZ13*前提条件!$C$18</f>
        <v/>
      </c>
      <c r="BA14" s="13">
        <f>BA13*前提条件!$C$18</f>
        <v/>
      </c>
      <c r="BB14" s="13">
        <f>BB13*前提条件!$C$18</f>
        <v/>
      </c>
      <c r="BC14" s="13">
        <f>BC13*前提条件!$C$18</f>
        <v/>
      </c>
      <c r="BD14" s="13">
        <f>BD13*前提条件!$C$18</f>
        <v/>
      </c>
      <c r="BE14" s="13">
        <f>BE13*前提条件!$C$18</f>
        <v/>
      </c>
      <c r="BF14" s="13">
        <f>BF13*前提条件!$C$18</f>
        <v/>
      </c>
      <c r="BG14" s="13">
        <f>BG13*前提条件!$C$18</f>
        <v/>
      </c>
      <c r="BH14" s="13">
        <f>BH13*前提条件!$C$18</f>
        <v/>
      </c>
      <c r="BI14" s="13">
        <f>BI13*前提条件!$C$18</f>
        <v/>
      </c>
      <c r="BJ14" s="13">
        <f>BJ13*前提条件!$C$18</f>
        <v/>
      </c>
    </row>
    <row r="15">
      <c r="A15" t="inlineStr">
        <is>
          <t>サーバー・地図API</t>
        </is>
      </c>
      <c r="C15" s="13">
        <f>前提条件!$C$37+前提条件!$C$38*(C8+C9)</f>
        <v/>
      </c>
      <c r="D15" s="13">
        <f>前提条件!$C$37+前提条件!$C$38*(D8+D9)</f>
        <v/>
      </c>
      <c r="E15" s="13">
        <f>前提条件!$C$37+前提条件!$C$38*(E8+E9)</f>
        <v/>
      </c>
      <c r="F15" s="13">
        <f>前提条件!$C$37+前提条件!$C$38*(F8+F9)</f>
        <v/>
      </c>
      <c r="G15" s="13">
        <f>前提条件!$C$37+前提条件!$C$38*(G8+G9)</f>
        <v/>
      </c>
      <c r="H15" s="13">
        <f>前提条件!$C$37+前提条件!$C$38*(H8+H9)</f>
        <v/>
      </c>
      <c r="I15" s="13">
        <f>前提条件!$C$37+前提条件!$C$38*(I8+I9)</f>
        <v/>
      </c>
      <c r="J15" s="13">
        <f>前提条件!$C$37+前提条件!$C$38*(J8+J9)</f>
        <v/>
      </c>
      <c r="K15" s="13">
        <f>前提条件!$C$37+前提条件!$C$38*(K8+K9)</f>
        <v/>
      </c>
      <c r="L15" s="13">
        <f>前提条件!$C$37+前提条件!$C$38*(L8+L9)</f>
        <v/>
      </c>
      <c r="M15" s="13">
        <f>前提条件!$C$37+前提条件!$C$38*(M8+M9)</f>
        <v/>
      </c>
      <c r="N15" s="13">
        <f>前提条件!$C$37+前提条件!$C$38*(N8+N9)</f>
        <v/>
      </c>
      <c r="O15" s="13">
        <f>前提条件!$C$37+前提条件!$C$38*(O8+O9)</f>
        <v/>
      </c>
      <c r="P15" s="13">
        <f>前提条件!$C$37+前提条件!$C$38*(P8+P9)</f>
        <v/>
      </c>
      <c r="Q15" s="13">
        <f>前提条件!$C$37+前提条件!$C$38*(Q8+Q9)</f>
        <v/>
      </c>
      <c r="R15" s="13">
        <f>前提条件!$C$37+前提条件!$C$38*(R8+R9)</f>
        <v/>
      </c>
      <c r="S15" s="13">
        <f>前提条件!$C$37+前提条件!$C$38*(S8+S9)</f>
        <v/>
      </c>
      <c r="T15" s="13">
        <f>前提条件!$C$37+前提条件!$C$38*(T8+T9)</f>
        <v/>
      </c>
      <c r="U15" s="13">
        <f>前提条件!$C$37+前提条件!$C$38*(U8+U9)</f>
        <v/>
      </c>
      <c r="V15" s="13">
        <f>前提条件!$C$37+前提条件!$C$38*(V8+V9)</f>
        <v/>
      </c>
      <c r="W15" s="13">
        <f>前提条件!$C$37+前提条件!$C$38*(W8+W9)</f>
        <v/>
      </c>
      <c r="X15" s="13">
        <f>前提条件!$C$37+前提条件!$C$38*(X8+X9)</f>
        <v/>
      </c>
      <c r="Y15" s="13">
        <f>前提条件!$C$37+前提条件!$C$38*(Y8+Y9)</f>
        <v/>
      </c>
      <c r="Z15" s="13">
        <f>前提条件!$C$37+前提条件!$C$38*(Z8+Z9)</f>
        <v/>
      </c>
      <c r="AA15" s="13">
        <f>前提条件!$C$37+前提条件!$C$38*(AA8+AA9)</f>
        <v/>
      </c>
      <c r="AB15" s="13">
        <f>前提条件!$C$37+前提条件!$C$38*(AB8+AB9)</f>
        <v/>
      </c>
      <c r="AC15" s="13">
        <f>前提条件!$C$37+前提条件!$C$38*(AC8+AC9)</f>
        <v/>
      </c>
      <c r="AD15" s="13">
        <f>前提条件!$C$37+前提条件!$C$38*(AD8+AD9)</f>
        <v/>
      </c>
      <c r="AE15" s="13">
        <f>前提条件!$C$37+前提条件!$C$38*(AE8+AE9)</f>
        <v/>
      </c>
      <c r="AF15" s="13">
        <f>前提条件!$C$37+前提条件!$C$38*(AF8+AF9)</f>
        <v/>
      </c>
      <c r="AG15" s="13">
        <f>前提条件!$C$37+前提条件!$C$38*(AG8+AG9)</f>
        <v/>
      </c>
      <c r="AH15" s="13">
        <f>前提条件!$C$37+前提条件!$C$38*(AH8+AH9)</f>
        <v/>
      </c>
      <c r="AI15" s="13">
        <f>前提条件!$C$37+前提条件!$C$38*(AI8+AI9)</f>
        <v/>
      </c>
      <c r="AJ15" s="13">
        <f>前提条件!$C$37+前提条件!$C$38*(AJ8+AJ9)</f>
        <v/>
      </c>
      <c r="AK15" s="13">
        <f>前提条件!$C$37+前提条件!$C$38*(AK8+AK9)</f>
        <v/>
      </c>
      <c r="AL15" s="13">
        <f>前提条件!$C$37+前提条件!$C$38*(AL8+AL9)</f>
        <v/>
      </c>
      <c r="AM15" s="13">
        <f>前提条件!$C$37+前提条件!$C$38*(AM8+AM9)</f>
        <v/>
      </c>
      <c r="AN15" s="13">
        <f>前提条件!$C$37+前提条件!$C$38*(AN8+AN9)</f>
        <v/>
      </c>
      <c r="AO15" s="13">
        <f>前提条件!$C$37+前提条件!$C$38*(AO8+AO9)</f>
        <v/>
      </c>
      <c r="AP15" s="13">
        <f>前提条件!$C$37+前提条件!$C$38*(AP8+AP9)</f>
        <v/>
      </c>
      <c r="AQ15" s="13">
        <f>前提条件!$C$37+前提条件!$C$38*(AQ8+AQ9)</f>
        <v/>
      </c>
      <c r="AR15" s="13">
        <f>前提条件!$C$37+前提条件!$C$38*(AR8+AR9)</f>
        <v/>
      </c>
      <c r="AS15" s="13">
        <f>前提条件!$C$37+前提条件!$C$38*(AS8+AS9)</f>
        <v/>
      </c>
      <c r="AT15" s="13">
        <f>前提条件!$C$37+前提条件!$C$38*(AT8+AT9)</f>
        <v/>
      </c>
      <c r="AU15" s="13">
        <f>前提条件!$C$37+前提条件!$C$38*(AU8+AU9)</f>
        <v/>
      </c>
      <c r="AV15" s="13">
        <f>前提条件!$C$37+前提条件!$C$38*(AV8+AV9)</f>
        <v/>
      </c>
      <c r="AW15" s="13">
        <f>前提条件!$C$37+前提条件!$C$38*(AW8+AW9)</f>
        <v/>
      </c>
      <c r="AX15" s="13">
        <f>前提条件!$C$37+前提条件!$C$38*(AX8+AX9)</f>
        <v/>
      </c>
      <c r="AY15" s="13">
        <f>前提条件!$C$37+前提条件!$C$38*(AY8+AY9)</f>
        <v/>
      </c>
      <c r="AZ15" s="13">
        <f>前提条件!$C$37+前提条件!$C$38*(AZ8+AZ9)</f>
        <v/>
      </c>
      <c r="BA15" s="13">
        <f>前提条件!$C$37+前提条件!$C$38*(BA8+BA9)</f>
        <v/>
      </c>
      <c r="BB15" s="13">
        <f>前提条件!$C$37+前提条件!$C$38*(BB8+BB9)</f>
        <v/>
      </c>
      <c r="BC15" s="13">
        <f>前提条件!$C$37+前提条件!$C$38*(BC8+BC9)</f>
        <v/>
      </c>
      <c r="BD15" s="13">
        <f>前提条件!$C$37+前提条件!$C$38*(BD8+BD9)</f>
        <v/>
      </c>
      <c r="BE15" s="13">
        <f>前提条件!$C$37+前提条件!$C$38*(BE8+BE9)</f>
        <v/>
      </c>
      <c r="BF15" s="13">
        <f>前提条件!$C$37+前提条件!$C$38*(BF8+BF9)</f>
        <v/>
      </c>
      <c r="BG15" s="13">
        <f>前提条件!$C$37+前提条件!$C$38*(BG8+BG9)</f>
        <v/>
      </c>
      <c r="BH15" s="13">
        <f>前提条件!$C$37+前提条件!$C$38*(BH8+BH9)</f>
        <v/>
      </c>
      <c r="BI15" s="13">
        <f>前提条件!$C$37+前提条件!$C$38*(BI8+BI9)</f>
        <v/>
      </c>
      <c r="BJ15" s="13">
        <f>前提条件!$C$37+前提条件!$C$38*(BJ8+BJ9)</f>
        <v/>
      </c>
    </row>
    <row r="16">
      <c r="A16" t="inlineStr">
        <is>
          <t>創業者報酬</t>
        </is>
      </c>
      <c r="C16" s="13">
        <f>前提条件!$C$20</f>
        <v/>
      </c>
      <c r="D16" s="13">
        <f>前提条件!$C$20</f>
        <v/>
      </c>
      <c r="E16" s="13">
        <f>前提条件!$C$20</f>
        <v/>
      </c>
      <c r="F16" s="13">
        <f>前提条件!$C$20</f>
        <v/>
      </c>
      <c r="G16" s="13">
        <f>前提条件!$C$20</f>
        <v/>
      </c>
      <c r="H16" s="13">
        <f>前提条件!$C$20</f>
        <v/>
      </c>
      <c r="I16" s="13">
        <f>前提条件!$C$20</f>
        <v/>
      </c>
      <c r="J16" s="13">
        <f>前提条件!$C$20</f>
        <v/>
      </c>
      <c r="K16" s="13">
        <f>前提条件!$C$20</f>
        <v/>
      </c>
      <c r="L16" s="13">
        <f>前提条件!$C$20</f>
        <v/>
      </c>
      <c r="M16" s="13">
        <f>前提条件!$C$20</f>
        <v/>
      </c>
      <c r="N16" s="13">
        <f>前提条件!$C$20</f>
        <v/>
      </c>
      <c r="O16" s="13">
        <f>前提条件!$C$20</f>
        <v/>
      </c>
      <c r="P16" s="13">
        <f>前提条件!$C$20</f>
        <v/>
      </c>
      <c r="Q16" s="13">
        <f>前提条件!$C$20</f>
        <v/>
      </c>
      <c r="R16" s="13">
        <f>前提条件!$C$20</f>
        <v/>
      </c>
      <c r="S16" s="13">
        <f>前提条件!$C$20</f>
        <v/>
      </c>
      <c r="T16" s="13">
        <f>前提条件!$C$20</f>
        <v/>
      </c>
      <c r="U16" s="13">
        <f>前提条件!$C$20</f>
        <v/>
      </c>
      <c r="V16" s="13">
        <f>前提条件!$C$20</f>
        <v/>
      </c>
      <c r="W16" s="13">
        <f>前提条件!$C$20</f>
        <v/>
      </c>
      <c r="X16" s="13">
        <f>前提条件!$C$20</f>
        <v/>
      </c>
      <c r="Y16" s="13">
        <f>前提条件!$C$20</f>
        <v/>
      </c>
      <c r="Z16" s="13">
        <f>前提条件!$C$20</f>
        <v/>
      </c>
      <c r="AA16" s="13">
        <f>前提条件!$C$20</f>
        <v/>
      </c>
      <c r="AB16" s="13">
        <f>前提条件!$C$20</f>
        <v/>
      </c>
      <c r="AC16" s="13">
        <f>前提条件!$C$20</f>
        <v/>
      </c>
      <c r="AD16" s="13">
        <f>前提条件!$C$20</f>
        <v/>
      </c>
      <c r="AE16" s="13">
        <f>前提条件!$C$20</f>
        <v/>
      </c>
      <c r="AF16" s="13">
        <f>前提条件!$C$20</f>
        <v/>
      </c>
      <c r="AG16" s="13">
        <f>前提条件!$C$20</f>
        <v/>
      </c>
      <c r="AH16" s="13">
        <f>前提条件!$C$20</f>
        <v/>
      </c>
      <c r="AI16" s="13">
        <f>前提条件!$C$20</f>
        <v/>
      </c>
      <c r="AJ16" s="13">
        <f>前提条件!$C$20</f>
        <v/>
      </c>
      <c r="AK16" s="13">
        <f>前提条件!$C$20</f>
        <v/>
      </c>
      <c r="AL16" s="13">
        <f>前提条件!$C$20</f>
        <v/>
      </c>
      <c r="AM16" s="13">
        <f>前提条件!$C$20</f>
        <v/>
      </c>
      <c r="AN16" s="13">
        <f>前提条件!$C$20</f>
        <v/>
      </c>
      <c r="AO16" s="13">
        <f>前提条件!$C$20</f>
        <v/>
      </c>
      <c r="AP16" s="13">
        <f>前提条件!$C$20</f>
        <v/>
      </c>
      <c r="AQ16" s="13">
        <f>前提条件!$C$20</f>
        <v/>
      </c>
      <c r="AR16" s="13">
        <f>前提条件!$C$20</f>
        <v/>
      </c>
      <c r="AS16" s="13">
        <f>前提条件!$C$20</f>
        <v/>
      </c>
      <c r="AT16" s="13">
        <f>前提条件!$C$20</f>
        <v/>
      </c>
      <c r="AU16" s="13">
        <f>前提条件!$C$20</f>
        <v/>
      </c>
      <c r="AV16" s="13">
        <f>前提条件!$C$20</f>
        <v/>
      </c>
      <c r="AW16" s="13">
        <f>前提条件!$C$20</f>
        <v/>
      </c>
      <c r="AX16" s="13">
        <f>前提条件!$C$20</f>
        <v/>
      </c>
      <c r="AY16" s="13">
        <f>前提条件!$C$20</f>
        <v/>
      </c>
      <c r="AZ16" s="13">
        <f>前提条件!$C$20</f>
        <v/>
      </c>
      <c r="BA16" s="13">
        <f>前提条件!$C$20</f>
        <v/>
      </c>
      <c r="BB16" s="13">
        <f>前提条件!$C$20</f>
        <v/>
      </c>
      <c r="BC16" s="13">
        <f>前提条件!$C$20</f>
        <v/>
      </c>
      <c r="BD16" s="13">
        <f>前提条件!$C$20</f>
        <v/>
      </c>
      <c r="BE16" s="13">
        <f>前提条件!$C$20</f>
        <v/>
      </c>
      <c r="BF16" s="13">
        <f>前提条件!$C$20</f>
        <v/>
      </c>
      <c r="BG16" s="13">
        <f>前提条件!$C$20</f>
        <v/>
      </c>
      <c r="BH16" s="13">
        <f>前提条件!$C$20</f>
        <v/>
      </c>
      <c r="BI16" s="13">
        <f>前提条件!$C$20</f>
        <v/>
      </c>
      <c r="BJ16" s="13">
        <f>前提条件!$C$20</f>
        <v/>
      </c>
    </row>
    <row r="17">
      <c r="A17" t="inlineStr">
        <is>
          <t>エンジニア費</t>
        </is>
      </c>
      <c r="C17" s="13">
        <f>IF(C4=1,前提条件!$C$21,IF(C4=2,前提条件!$C$22,前提条件!$C$23))</f>
        <v/>
      </c>
      <c r="D17" s="13">
        <f>IF(D4=1,前提条件!$C$21,IF(D4=2,前提条件!$C$22,前提条件!$C$23))</f>
        <v/>
      </c>
      <c r="E17" s="13">
        <f>IF(E4=1,前提条件!$C$21,IF(E4=2,前提条件!$C$22,前提条件!$C$23))</f>
        <v/>
      </c>
      <c r="F17" s="13">
        <f>IF(F4=1,前提条件!$C$21,IF(F4=2,前提条件!$C$22,前提条件!$C$23))</f>
        <v/>
      </c>
      <c r="G17" s="13">
        <f>IF(G4=1,前提条件!$C$21,IF(G4=2,前提条件!$C$22,前提条件!$C$23))</f>
        <v/>
      </c>
      <c r="H17" s="13">
        <f>IF(H4=1,前提条件!$C$21,IF(H4=2,前提条件!$C$22,前提条件!$C$23))</f>
        <v/>
      </c>
      <c r="I17" s="13">
        <f>IF(I4=1,前提条件!$C$21,IF(I4=2,前提条件!$C$22,前提条件!$C$23))</f>
        <v/>
      </c>
      <c r="J17" s="13">
        <f>IF(J4=1,前提条件!$C$21,IF(J4=2,前提条件!$C$22,前提条件!$C$23))</f>
        <v/>
      </c>
      <c r="K17" s="13">
        <f>IF(K4=1,前提条件!$C$21,IF(K4=2,前提条件!$C$22,前提条件!$C$23))</f>
        <v/>
      </c>
      <c r="L17" s="13">
        <f>IF(L4=1,前提条件!$C$21,IF(L4=2,前提条件!$C$22,前提条件!$C$23))</f>
        <v/>
      </c>
      <c r="M17" s="13">
        <f>IF(M4=1,前提条件!$C$21,IF(M4=2,前提条件!$C$22,前提条件!$C$23))</f>
        <v/>
      </c>
      <c r="N17" s="13">
        <f>IF(N4=1,前提条件!$C$21,IF(N4=2,前提条件!$C$22,前提条件!$C$23))</f>
        <v/>
      </c>
      <c r="O17" s="13">
        <f>IF(O4=1,前提条件!$C$21,IF(O4=2,前提条件!$C$22,前提条件!$C$23))</f>
        <v/>
      </c>
      <c r="P17" s="13">
        <f>IF(P4=1,前提条件!$C$21,IF(P4=2,前提条件!$C$22,前提条件!$C$23))</f>
        <v/>
      </c>
      <c r="Q17" s="13">
        <f>IF(Q4=1,前提条件!$C$21,IF(Q4=2,前提条件!$C$22,前提条件!$C$23))</f>
        <v/>
      </c>
      <c r="R17" s="13">
        <f>IF(R4=1,前提条件!$C$21,IF(R4=2,前提条件!$C$22,前提条件!$C$23))</f>
        <v/>
      </c>
      <c r="S17" s="13">
        <f>IF(S4=1,前提条件!$C$21,IF(S4=2,前提条件!$C$22,前提条件!$C$23))</f>
        <v/>
      </c>
      <c r="T17" s="13">
        <f>IF(T4=1,前提条件!$C$21,IF(T4=2,前提条件!$C$22,前提条件!$C$23))</f>
        <v/>
      </c>
      <c r="U17" s="13">
        <f>IF(U4=1,前提条件!$C$21,IF(U4=2,前提条件!$C$22,前提条件!$C$23))</f>
        <v/>
      </c>
      <c r="V17" s="13">
        <f>IF(V4=1,前提条件!$C$21,IF(V4=2,前提条件!$C$22,前提条件!$C$23))</f>
        <v/>
      </c>
      <c r="W17" s="13">
        <f>IF(W4=1,前提条件!$C$21,IF(W4=2,前提条件!$C$22,前提条件!$C$23))</f>
        <v/>
      </c>
      <c r="X17" s="13">
        <f>IF(X4=1,前提条件!$C$21,IF(X4=2,前提条件!$C$22,前提条件!$C$23))</f>
        <v/>
      </c>
      <c r="Y17" s="13">
        <f>IF(Y4=1,前提条件!$C$21,IF(Y4=2,前提条件!$C$22,前提条件!$C$23))</f>
        <v/>
      </c>
      <c r="Z17" s="13">
        <f>IF(Z4=1,前提条件!$C$21,IF(Z4=2,前提条件!$C$22,前提条件!$C$23))</f>
        <v/>
      </c>
      <c r="AA17" s="13">
        <f>IF(AA4=1,前提条件!$C$21,IF(AA4=2,前提条件!$C$22,前提条件!$C$23))</f>
        <v/>
      </c>
      <c r="AB17" s="13">
        <f>IF(AB4=1,前提条件!$C$21,IF(AB4=2,前提条件!$C$22,前提条件!$C$23))</f>
        <v/>
      </c>
      <c r="AC17" s="13">
        <f>IF(AC4=1,前提条件!$C$21,IF(AC4=2,前提条件!$C$22,前提条件!$C$23))</f>
        <v/>
      </c>
      <c r="AD17" s="13">
        <f>IF(AD4=1,前提条件!$C$21,IF(AD4=2,前提条件!$C$22,前提条件!$C$23))</f>
        <v/>
      </c>
      <c r="AE17" s="13">
        <f>IF(AE4=1,前提条件!$C$21,IF(AE4=2,前提条件!$C$22,前提条件!$C$23))</f>
        <v/>
      </c>
      <c r="AF17" s="13">
        <f>IF(AF4=1,前提条件!$C$21,IF(AF4=2,前提条件!$C$22,前提条件!$C$23))</f>
        <v/>
      </c>
      <c r="AG17" s="13">
        <f>IF(AG4=1,前提条件!$C$21,IF(AG4=2,前提条件!$C$22,前提条件!$C$23))</f>
        <v/>
      </c>
      <c r="AH17" s="13">
        <f>IF(AH4=1,前提条件!$C$21,IF(AH4=2,前提条件!$C$22,前提条件!$C$23))</f>
        <v/>
      </c>
      <c r="AI17" s="13">
        <f>IF(AI4=1,前提条件!$C$21,IF(AI4=2,前提条件!$C$22,前提条件!$C$23))</f>
        <v/>
      </c>
      <c r="AJ17" s="13">
        <f>IF(AJ4=1,前提条件!$C$21,IF(AJ4=2,前提条件!$C$22,前提条件!$C$23))</f>
        <v/>
      </c>
      <c r="AK17" s="13">
        <f>IF(AK4=1,前提条件!$C$21,IF(AK4=2,前提条件!$C$22,前提条件!$C$23))</f>
        <v/>
      </c>
      <c r="AL17" s="13">
        <f>IF(AL4=1,前提条件!$C$21,IF(AL4=2,前提条件!$C$22,前提条件!$C$23))</f>
        <v/>
      </c>
      <c r="AM17" s="13">
        <f>IF(AM4=1,前提条件!$C$21,IF(AM4=2,前提条件!$C$22,前提条件!$C$23))</f>
        <v/>
      </c>
      <c r="AN17" s="13">
        <f>IF(AN4=1,前提条件!$C$21,IF(AN4=2,前提条件!$C$22,前提条件!$C$23))</f>
        <v/>
      </c>
      <c r="AO17" s="13">
        <f>IF(AO4=1,前提条件!$C$21,IF(AO4=2,前提条件!$C$22,前提条件!$C$23))</f>
        <v/>
      </c>
      <c r="AP17" s="13">
        <f>IF(AP4=1,前提条件!$C$21,IF(AP4=2,前提条件!$C$22,前提条件!$C$23))</f>
        <v/>
      </c>
      <c r="AQ17" s="13">
        <f>IF(AQ4=1,前提条件!$C$21,IF(AQ4=2,前提条件!$C$22,前提条件!$C$23))</f>
        <v/>
      </c>
      <c r="AR17" s="13">
        <f>IF(AR4=1,前提条件!$C$21,IF(AR4=2,前提条件!$C$22,前提条件!$C$23))</f>
        <v/>
      </c>
      <c r="AS17" s="13">
        <f>IF(AS4=1,前提条件!$C$21,IF(AS4=2,前提条件!$C$22,前提条件!$C$23))</f>
        <v/>
      </c>
      <c r="AT17" s="13">
        <f>IF(AT4=1,前提条件!$C$21,IF(AT4=2,前提条件!$C$22,前提条件!$C$23))</f>
        <v/>
      </c>
      <c r="AU17" s="13">
        <f>IF(AU4=1,前提条件!$C$21,IF(AU4=2,前提条件!$C$22,前提条件!$C$23))</f>
        <v/>
      </c>
      <c r="AV17" s="13">
        <f>IF(AV4=1,前提条件!$C$21,IF(AV4=2,前提条件!$C$22,前提条件!$C$23))</f>
        <v/>
      </c>
      <c r="AW17" s="13">
        <f>IF(AW4=1,前提条件!$C$21,IF(AW4=2,前提条件!$C$22,前提条件!$C$23))</f>
        <v/>
      </c>
      <c r="AX17" s="13">
        <f>IF(AX4=1,前提条件!$C$21,IF(AX4=2,前提条件!$C$22,前提条件!$C$23))</f>
        <v/>
      </c>
      <c r="AY17" s="13">
        <f>IF(AY4=1,前提条件!$C$21,IF(AY4=2,前提条件!$C$22,前提条件!$C$23))</f>
        <v/>
      </c>
      <c r="AZ17" s="13">
        <f>IF(AZ4=1,前提条件!$C$21,IF(AZ4=2,前提条件!$C$22,前提条件!$C$23))</f>
        <v/>
      </c>
      <c r="BA17" s="13">
        <f>IF(BA4=1,前提条件!$C$21,IF(BA4=2,前提条件!$C$22,前提条件!$C$23))</f>
        <v/>
      </c>
      <c r="BB17" s="13">
        <f>IF(BB4=1,前提条件!$C$21,IF(BB4=2,前提条件!$C$22,前提条件!$C$23))</f>
        <v/>
      </c>
      <c r="BC17" s="13">
        <f>IF(BC4=1,前提条件!$C$21,IF(BC4=2,前提条件!$C$22,前提条件!$C$23))</f>
        <v/>
      </c>
      <c r="BD17" s="13">
        <f>IF(BD4=1,前提条件!$C$21,IF(BD4=2,前提条件!$C$22,前提条件!$C$23))</f>
        <v/>
      </c>
      <c r="BE17" s="13">
        <f>IF(BE4=1,前提条件!$C$21,IF(BE4=2,前提条件!$C$22,前提条件!$C$23))</f>
        <v/>
      </c>
      <c r="BF17" s="13">
        <f>IF(BF4=1,前提条件!$C$21,IF(BF4=2,前提条件!$C$22,前提条件!$C$23))</f>
        <v/>
      </c>
      <c r="BG17" s="13">
        <f>IF(BG4=1,前提条件!$C$21,IF(BG4=2,前提条件!$C$22,前提条件!$C$23))</f>
        <v/>
      </c>
      <c r="BH17" s="13">
        <f>IF(BH4=1,前提条件!$C$21,IF(BH4=2,前提条件!$C$22,前提条件!$C$23))</f>
        <v/>
      </c>
      <c r="BI17" s="13">
        <f>IF(BI4=1,前提条件!$C$21,IF(BI4=2,前提条件!$C$22,前提条件!$C$23))</f>
        <v/>
      </c>
      <c r="BJ17" s="13">
        <f>IF(BJ4=1,前提条件!$C$21,IF(BJ4=2,前提条件!$C$22,前提条件!$C$23))</f>
        <v/>
      </c>
    </row>
    <row r="18">
      <c r="A18" t="inlineStr">
        <is>
          <t>営業人員(人)</t>
        </is>
      </c>
      <c r="C18" s="12">
        <f>IF(C3&lt;前提条件!$C$26,0,ROUNDUP(C5/前提条件!$C$24,0))</f>
        <v/>
      </c>
      <c r="D18" s="12">
        <f>IF(D3&lt;前提条件!$C$26,0,ROUNDUP(D5/前提条件!$C$24,0))</f>
        <v/>
      </c>
      <c r="E18" s="12">
        <f>IF(E3&lt;前提条件!$C$26,0,ROUNDUP(E5/前提条件!$C$24,0))</f>
        <v/>
      </c>
      <c r="F18" s="12">
        <f>IF(F3&lt;前提条件!$C$26,0,ROUNDUP(F5/前提条件!$C$24,0))</f>
        <v/>
      </c>
      <c r="G18" s="12">
        <f>IF(G3&lt;前提条件!$C$26,0,ROUNDUP(G5/前提条件!$C$24,0))</f>
        <v/>
      </c>
      <c r="H18" s="12">
        <f>IF(H3&lt;前提条件!$C$26,0,ROUNDUP(H5/前提条件!$C$24,0))</f>
        <v/>
      </c>
      <c r="I18" s="12">
        <f>IF(I3&lt;前提条件!$C$26,0,ROUNDUP(I5/前提条件!$C$24,0))</f>
        <v/>
      </c>
      <c r="J18" s="12">
        <f>IF(J3&lt;前提条件!$C$26,0,ROUNDUP(J5/前提条件!$C$24,0))</f>
        <v/>
      </c>
      <c r="K18" s="12">
        <f>IF(K3&lt;前提条件!$C$26,0,ROUNDUP(K5/前提条件!$C$24,0))</f>
        <v/>
      </c>
      <c r="L18" s="12">
        <f>IF(L3&lt;前提条件!$C$26,0,ROUNDUP(L5/前提条件!$C$24,0))</f>
        <v/>
      </c>
      <c r="M18" s="12">
        <f>IF(M3&lt;前提条件!$C$26,0,ROUNDUP(M5/前提条件!$C$24,0))</f>
        <v/>
      </c>
      <c r="N18" s="12">
        <f>IF(N3&lt;前提条件!$C$26,0,ROUNDUP(N5/前提条件!$C$24,0))</f>
        <v/>
      </c>
      <c r="O18" s="12">
        <f>IF(O3&lt;前提条件!$C$26,0,ROUNDUP(O5/前提条件!$C$24,0))</f>
        <v/>
      </c>
      <c r="P18" s="12">
        <f>IF(P3&lt;前提条件!$C$26,0,ROUNDUP(P5/前提条件!$C$24,0))</f>
        <v/>
      </c>
      <c r="Q18" s="12">
        <f>IF(Q3&lt;前提条件!$C$26,0,ROUNDUP(Q5/前提条件!$C$24,0))</f>
        <v/>
      </c>
      <c r="R18" s="12">
        <f>IF(R3&lt;前提条件!$C$26,0,ROUNDUP(R5/前提条件!$C$24,0))</f>
        <v/>
      </c>
      <c r="S18" s="12">
        <f>IF(S3&lt;前提条件!$C$26,0,ROUNDUP(S5/前提条件!$C$24,0))</f>
        <v/>
      </c>
      <c r="T18" s="12">
        <f>IF(T3&lt;前提条件!$C$26,0,ROUNDUP(T5/前提条件!$C$24,0))</f>
        <v/>
      </c>
      <c r="U18" s="12">
        <f>IF(U3&lt;前提条件!$C$26,0,ROUNDUP(U5/前提条件!$C$24,0))</f>
        <v/>
      </c>
      <c r="V18" s="12">
        <f>IF(V3&lt;前提条件!$C$26,0,ROUNDUP(V5/前提条件!$C$24,0))</f>
        <v/>
      </c>
      <c r="W18" s="12">
        <f>IF(W3&lt;前提条件!$C$26,0,ROUNDUP(W5/前提条件!$C$24,0))</f>
        <v/>
      </c>
      <c r="X18" s="12">
        <f>IF(X3&lt;前提条件!$C$26,0,ROUNDUP(X5/前提条件!$C$24,0))</f>
        <v/>
      </c>
      <c r="Y18" s="12">
        <f>IF(Y3&lt;前提条件!$C$26,0,ROUNDUP(Y5/前提条件!$C$24,0))</f>
        <v/>
      </c>
      <c r="Z18" s="12">
        <f>IF(Z3&lt;前提条件!$C$26,0,ROUNDUP(Z5/前提条件!$C$24,0))</f>
        <v/>
      </c>
      <c r="AA18" s="12">
        <f>IF(AA3&lt;前提条件!$C$26,0,ROUNDUP(AA5/前提条件!$C$24,0))</f>
        <v/>
      </c>
      <c r="AB18" s="12">
        <f>IF(AB3&lt;前提条件!$C$26,0,ROUNDUP(AB5/前提条件!$C$24,0))</f>
        <v/>
      </c>
      <c r="AC18" s="12">
        <f>IF(AC3&lt;前提条件!$C$26,0,ROUNDUP(AC5/前提条件!$C$24,0))</f>
        <v/>
      </c>
      <c r="AD18" s="12">
        <f>IF(AD3&lt;前提条件!$C$26,0,ROUNDUP(AD5/前提条件!$C$24,0))</f>
        <v/>
      </c>
      <c r="AE18" s="12">
        <f>IF(AE3&lt;前提条件!$C$26,0,ROUNDUP(AE5/前提条件!$C$24,0))</f>
        <v/>
      </c>
      <c r="AF18" s="12">
        <f>IF(AF3&lt;前提条件!$C$26,0,ROUNDUP(AF5/前提条件!$C$24,0))</f>
        <v/>
      </c>
      <c r="AG18" s="12">
        <f>IF(AG3&lt;前提条件!$C$26,0,ROUNDUP(AG5/前提条件!$C$24,0))</f>
        <v/>
      </c>
      <c r="AH18" s="12">
        <f>IF(AH3&lt;前提条件!$C$26,0,ROUNDUP(AH5/前提条件!$C$24,0))</f>
        <v/>
      </c>
      <c r="AI18" s="12">
        <f>IF(AI3&lt;前提条件!$C$26,0,ROUNDUP(AI5/前提条件!$C$24,0))</f>
        <v/>
      </c>
      <c r="AJ18" s="12">
        <f>IF(AJ3&lt;前提条件!$C$26,0,ROUNDUP(AJ5/前提条件!$C$24,0))</f>
        <v/>
      </c>
      <c r="AK18" s="12">
        <f>IF(AK3&lt;前提条件!$C$26,0,ROUNDUP(AK5/前提条件!$C$24,0))</f>
        <v/>
      </c>
      <c r="AL18" s="12">
        <f>IF(AL3&lt;前提条件!$C$26,0,ROUNDUP(AL5/前提条件!$C$24,0))</f>
        <v/>
      </c>
      <c r="AM18" s="12">
        <f>IF(AM3&lt;前提条件!$C$26,0,ROUNDUP(AM5/前提条件!$C$24,0))</f>
        <v/>
      </c>
      <c r="AN18" s="12">
        <f>IF(AN3&lt;前提条件!$C$26,0,ROUNDUP(AN5/前提条件!$C$24,0))</f>
        <v/>
      </c>
      <c r="AO18" s="12">
        <f>IF(AO3&lt;前提条件!$C$26,0,ROUNDUP(AO5/前提条件!$C$24,0))</f>
        <v/>
      </c>
      <c r="AP18" s="12">
        <f>IF(AP3&lt;前提条件!$C$26,0,ROUNDUP(AP5/前提条件!$C$24,0))</f>
        <v/>
      </c>
      <c r="AQ18" s="12">
        <f>IF(AQ3&lt;前提条件!$C$26,0,ROUNDUP(AQ5/前提条件!$C$24,0))</f>
        <v/>
      </c>
      <c r="AR18" s="12">
        <f>IF(AR3&lt;前提条件!$C$26,0,ROUNDUP(AR5/前提条件!$C$24,0))</f>
        <v/>
      </c>
      <c r="AS18" s="12">
        <f>IF(AS3&lt;前提条件!$C$26,0,ROUNDUP(AS5/前提条件!$C$24,0))</f>
        <v/>
      </c>
      <c r="AT18" s="12">
        <f>IF(AT3&lt;前提条件!$C$26,0,ROUNDUP(AT5/前提条件!$C$24,0))</f>
        <v/>
      </c>
      <c r="AU18" s="12">
        <f>IF(AU3&lt;前提条件!$C$26,0,ROUNDUP(AU5/前提条件!$C$24,0))</f>
        <v/>
      </c>
      <c r="AV18" s="12">
        <f>IF(AV3&lt;前提条件!$C$26,0,ROUNDUP(AV5/前提条件!$C$24,0))</f>
        <v/>
      </c>
      <c r="AW18" s="12">
        <f>IF(AW3&lt;前提条件!$C$26,0,ROUNDUP(AW5/前提条件!$C$24,0))</f>
        <v/>
      </c>
      <c r="AX18" s="12">
        <f>IF(AX3&lt;前提条件!$C$26,0,ROUNDUP(AX5/前提条件!$C$24,0))</f>
        <v/>
      </c>
      <c r="AY18" s="12">
        <f>IF(AY3&lt;前提条件!$C$26,0,ROUNDUP(AY5/前提条件!$C$24,0))</f>
        <v/>
      </c>
      <c r="AZ18" s="12">
        <f>IF(AZ3&lt;前提条件!$C$26,0,ROUNDUP(AZ5/前提条件!$C$24,0))</f>
        <v/>
      </c>
      <c r="BA18" s="12">
        <f>IF(BA3&lt;前提条件!$C$26,0,ROUNDUP(BA5/前提条件!$C$24,0))</f>
        <v/>
      </c>
      <c r="BB18" s="12">
        <f>IF(BB3&lt;前提条件!$C$26,0,ROUNDUP(BB5/前提条件!$C$24,0))</f>
        <v/>
      </c>
      <c r="BC18" s="12">
        <f>IF(BC3&lt;前提条件!$C$26,0,ROUNDUP(BC5/前提条件!$C$24,0))</f>
        <v/>
      </c>
      <c r="BD18" s="12">
        <f>IF(BD3&lt;前提条件!$C$26,0,ROUNDUP(BD5/前提条件!$C$24,0))</f>
        <v/>
      </c>
      <c r="BE18" s="12">
        <f>IF(BE3&lt;前提条件!$C$26,0,ROUNDUP(BE5/前提条件!$C$24,0))</f>
        <v/>
      </c>
      <c r="BF18" s="12">
        <f>IF(BF3&lt;前提条件!$C$26,0,ROUNDUP(BF5/前提条件!$C$24,0))</f>
        <v/>
      </c>
      <c r="BG18" s="12">
        <f>IF(BG3&lt;前提条件!$C$26,0,ROUNDUP(BG5/前提条件!$C$24,0))</f>
        <v/>
      </c>
      <c r="BH18" s="12">
        <f>IF(BH3&lt;前提条件!$C$26,0,ROUNDUP(BH5/前提条件!$C$24,0))</f>
        <v/>
      </c>
      <c r="BI18" s="12">
        <f>IF(BI3&lt;前提条件!$C$26,0,ROUNDUP(BI5/前提条件!$C$24,0))</f>
        <v/>
      </c>
      <c r="BJ18" s="12">
        <f>IF(BJ3&lt;前提条件!$C$26,0,ROUNDUP(BJ5/前提条件!$C$24,0))</f>
        <v/>
      </c>
    </row>
    <row r="19">
      <c r="A19" t="inlineStr">
        <is>
          <t>営業人件費</t>
        </is>
      </c>
      <c r="C19" s="13">
        <f>C18*前提条件!$C$25</f>
        <v/>
      </c>
      <c r="D19" s="13">
        <f>D18*前提条件!$C$25</f>
        <v/>
      </c>
      <c r="E19" s="13">
        <f>E18*前提条件!$C$25</f>
        <v/>
      </c>
      <c r="F19" s="13">
        <f>F18*前提条件!$C$25</f>
        <v/>
      </c>
      <c r="G19" s="13">
        <f>G18*前提条件!$C$25</f>
        <v/>
      </c>
      <c r="H19" s="13">
        <f>H18*前提条件!$C$25</f>
        <v/>
      </c>
      <c r="I19" s="13">
        <f>I18*前提条件!$C$25</f>
        <v/>
      </c>
      <c r="J19" s="13">
        <f>J18*前提条件!$C$25</f>
        <v/>
      </c>
      <c r="K19" s="13">
        <f>K18*前提条件!$C$25</f>
        <v/>
      </c>
      <c r="L19" s="13">
        <f>L18*前提条件!$C$25</f>
        <v/>
      </c>
      <c r="M19" s="13">
        <f>M18*前提条件!$C$25</f>
        <v/>
      </c>
      <c r="N19" s="13">
        <f>N18*前提条件!$C$25</f>
        <v/>
      </c>
      <c r="O19" s="13">
        <f>O18*前提条件!$C$25</f>
        <v/>
      </c>
      <c r="P19" s="13">
        <f>P18*前提条件!$C$25</f>
        <v/>
      </c>
      <c r="Q19" s="13">
        <f>Q18*前提条件!$C$25</f>
        <v/>
      </c>
      <c r="R19" s="13">
        <f>R18*前提条件!$C$25</f>
        <v/>
      </c>
      <c r="S19" s="13">
        <f>S18*前提条件!$C$25</f>
        <v/>
      </c>
      <c r="T19" s="13">
        <f>T18*前提条件!$C$25</f>
        <v/>
      </c>
      <c r="U19" s="13">
        <f>U18*前提条件!$C$25</f>
        <v/>
      </c>
      <c r="V19" s="13">
        <f>V18*前提条件!$C$25</f>
        <v/>
      </c>
      <c r="W19" s="13">
        <f>W18*前提条件!$C$25</f>
        <v/>
      </c>
      <c r="X19" s="13">
        <f>X18*前提条件!$C$25</f>
        <v/>
      </c>
      <c r="Y19" s="13">
        <f>Y18*前提条件!$C$25</f>
        <v/>
      </c>
      <c r="Z19" s="13">
        <f>Z18*前提条件!$C$25</f>
        <v/>
      </c>
      <c r="AA19" s="13">
        <f>AA18*前提条件!$C$25</f>
        <v/>
      </c>
      <c r="AB19" s="13">
        <f>AB18*前提条件!$C$25</f>
        <v/>
      </c>
      <c r="AC19" s="13">
        <f>AC18*前提条件!$C$25</f>
        <v/>
      </c>
      <c r="AD19" s="13">
        <f>AD18*前提条件!$C$25</f>
        <v/>
      </c>
      <c r="AE19" s="13">
        <f>AE18*前提条件!$C$25</f>
        <v/>
      </c>
      <c r="AF19" s="13">
        <f>AF18*前提条件!$C$25</f>
        <v/>
      </c>
      <c r="AG19" s="13">
        <f>AG18*前提条件!$C$25</f>
        <v/>
      </c>
      <c r="AH19" s="13">
        <f>AH18*前提条件!$C$25</f>
        <v/>
      </c>
      <c r="AI19" s="13">
        <f>AI18*前提条件!$C$25</f>
        <v/>
      </c>
      <c r="AJ19" s="13">
        <f>AJ18*前提条件!$C$25</f>
        <v/>
      </c>
      <c r="AK19" s="13">
        <f>AK18*前提条件!$C$25</f>
        <v/>
      </c>
      <c r="AL19" s="13">
        <f>AL18*前提条件!$C$25</f>
        <v/>
      </c>
      <c r="AM19" s="13">
        <f>AM18*前提条件!$C$25</f>
        <v/>
      </c>
      <c r="AN19" s="13">
        <f>AN18*前提条件!$C$25</f>
        <v/>
      </c>
      <c r="AO19" s="13">
        <f>AO18*前提条件!$C$25</f>
        <v/>
      </c>
      <c r="AP19" s="13">
        <f>AP18*前提条件!$C$25</f>
        <v/>
      </c>
      <c r="AQ19" s="13">
        <f>AQ18*前提条件!$C$25</f>
        <v/>
      </c>
      <c r="AR19" s="13">
        <f>AR18*前提条件!$C$25</f>
        <v/>
      </c>
      <c r="AS19" s="13">
        <f>AS18*前提条件!$C$25</f>
        <v/>
      </c>
      <c r="AT19" s="13">
        <f>AT18*前提条件!$C$25</f>
        <v/>
      </c>
      <c r="AU19" s="13">
        <f>AU18*前提条件!$C$25</f>
        <v/>
      </c>
      <c r="AV19" s="13">
        <f>AV18*前提条件!$C$25</f>
        <v/>
      </c>
      <c r="AW19" s="13">
        <f>AW18*前提条件!$C$25</f>
        <v/>
      </c>
      <c r="AX19" s="13">
        <f>AX18*前提条件!$C$25</f>
        <v/>
      </c>
      <c r="AY19" s="13">
        <f>AY18*前提条件!$C$25</f>
        <v/>
      </c>
      <c r="AZ19" s="13">
        <f>AZ18*前提条件!$C$25</f>
        <v/>
      </c>
      <c r="BA19" s="13">
        <f>BA18*前提条件!$C$25</f>
        <v/>
      </c>
      <c r="BB19" s="13">
        <f>BB18*前提条件!$C$25</f>
        <v/>
      </c>
      <c r="BC19" s="13">
        <f>BC18*前提条件!$C$25</f>
        <v/>
      </c>
      <c r="BD19" s="13">
        <f>BD18*前提条件!$C$25</f>
        <v/>
      </c>
      <c r="BE19" s="13">
        <f>BE18*前提条件!$C$25</f>
        <v/>
      </c>
      <c r="BF19" s="13">
        <f>BF18*前提条件!$C$25</f>
        <v/>
      </c>
      <c r="BG19" s="13">
        <f>BG18*前提条件!$C$25</f>
        <v/>
      </c>
      <c r="BH19" s="13">
        <f>BH18*前提条件!$C$25</f>
        <v/>
      </c>
      <c r="BI19" s="13">
        <f>BI18*前提条件!$C$25</f>
        <v/>
      </c>
      <c r="BJ19" s="13">
        <f>BJ18*前提条件!$C$25</f>
        <v/>
      </c>
    </row>
    <row r="20">
      <c r="A20" t="inlineStr">
        <is>
          <t>CS人員(人)</t>
        </is>
      </c>
      <c r="C20" s="12">
        <f>IF(C3&lt;前提条件!$C$29,0,ROUNDUP(C8/前提条件!$C$27,0))</f>
        <v/>
      </c>
      <c r="D20" s="12">
        <f>IF(D3&lt;前提条件!$C$29,0,ROUNDUP(D8/前提条件!$C$27,0))</f>
        <v/>
      </c>
      <c r="E20" s="12">
        <f>IF(E3&lt;前提条件!$C$29,0,ROUNDUP(E8/前提条件!$C$27,0))</f>
        <v/>
      </c>
      <c r="F20" s="12">
        <f>IF(F3&lt;前提条件!$C$29,0,ROUNDUP(F8/前提条件!$C$27,0))</f>
        <v/>
      </c>
      <c r="G20" s="12">
        <f>IF(G3&lt;前提条件!$C$29,0,ROUNDUP(G8/前提条件!$C$27,0))</f>
        <v/>
      </c>
      <c r="H20" s="12">
        <f>IF(H3&lt;前提条件!$C$29,0,ROUNDUP(H8/前提条件!$C$27,0))</f>
        <v/>
      </c>
      <c r="I20" s="12">
        <f>IF(I3&lt;前提条件!$C$29,0,ROUNDUP(I8/前提条件!$C$27,0))</f>
        <v/>
      </c>
      <c r="J20" s="12">
        <f>IF(J3&lt;前提条件!$C$29,0,ROUNDUP(J8/前提条件!$C$27,0))</f>
        <v/>
      </c>
      <c r="K20" s="12">
        <f>IF(K3&lt;前提条件!$C$29,0,ROUNDUP(K8/前提条件!$C$27,0))</f>
        <v/>
      </c>
      <c r="L20" s="12">
        <f>IF(L3&lt;前提条件!$C$29,0,ROUNDUP(L8/前提条件!$C$27,0))</f>
        <v/>
      </c>
      <c r="M20" s="12">
        <f>IF(M3&lt;前提条件!$C$29,0,ROUNDUP(M8/前提条件!$C$27,0))</f>
        <v/>
      </c>
      <c r="N20" s="12">
        <f>IF(N3&lt;前提条件!$C$29,0,ROUNDUP(N8/前提条件!$C$27,0))</f>
        <v/>
      </c>
      <c r="O20" s="12">
        <f>IF(O3&lt;前提条件!$C$29,0,ROUNDUP(O8/前提条件!$C$27,0))</f>
        <v/>
      </c>
      <c r="P20" s="12">
        <f>IF(P3&lt;前提条件!$C$29,0,ROUNDUP(P8/前提条件!$C$27,0))</f>
        <v/>
      </c>
      <c r="Q20" s="12">
        <f>IF(Q3&lt;前提条件!$C$29,0,ROUNDUP(Q8/前提条件!$C$27,0))</f>
        <v/>
      </c>
      <c r="R20" s="12">
        <f>IF(R3&lt;前提条件!$C$29,0,ROUNDUP(R8/前提条件!$C$27,0))</f>
        <v/>
      </c>
      <c r="S20" s="12">
        <f>IF(S3&lt;前提条件!$C$29,0,ROUNDUP(S8/前提条件!$C$27,0))</f>
        <v/>
      </c>
      <c r="T20" s="12">
        <f>IF(T3&lt;前提条件!$C$29,0,ROUNDUP(T8/前提条件!$C$27,0))</f>
        <v/>
      </c>
      <c r="U20" s="12">
        <f>IF(U3&lt;前提条件!$C$29,0,ROUNDUP(U8/前提条件!$C$27,0))</f>
        <v/>
      </c>
      <c r="V20" s="12">
        <f>IF(V3&lt;前提条件!$C$29,0,ROUNDUP(V8/前提条件!$C$27,0))</f>
        <v/>
      </c>
      <c r="W20" s="12">
        <f>IF(W3&lt;前提条件!$C$29,0,ROUNDUP(W8/前提条件!$C$27,0))</f>
        <v/>
      </c>
      <c r="X20" s="12">
        <f>IF(X3&lt;前提条件!$C$29,0,ROUNDUP(X8/前提条件!$C$27,0))</f>
        <v/>
      </c>
      <c r="Y20" s="12">
        <f>IF(Y3&lt;前提条件!$C$29,0,ROUNDUP(Y8/前提条件!$C$27,0))</f>
        <v/>
      </c>
      <c r="Z20" s="12">
        <f>IF(Z3&lt;前提条件!$C$29,0,ROUNDUP(Z8/前提条件!$C$27,0))</f>
        <v/>
      </c>
      <c r="AA20" s="12">
        <f>IF(AA3&lt;前提条件!$C$29,0,ROUNDUP(AA8/前提条件!$C$27,0))</f>
        <v/>
      </c>
      <c r="AB20" s="12">
        <f>IF(AB3&lt;前提条件!$C$29,0,ROUNDUP(AB8/前提条件!$C$27,0))</f>
        <v/>
      </c>
      <c r="AC20" s="12">
        <f>IF(AC3&lt;前提条件!$C$29,0,ROUNDUP(AC8/前提条件!$C$27,0))</f>
        <v/>
      </c>
      <c r="AD20" s="12">
        <f>IF(AD3&lt;前提条件!$C$29,0,ROUNDUP(AD8/前提条件!$C$27,0))</f>
        <v/>
      </c>
      <c r="AE20" s="12">
        <f>IF(AE3&lt;前提条件!$C$29,0,ROUNDUP(AE8/前提条件!$C$27,0))</f>
        <v/>
      </c>
      <c r="AF20" s="12">
        <f>IF(AF3&lt;前提条件!$C$29,0,ROUNDUP(AF8/前提条件!$C$27,0))</f>
        <v/>
      </c>
      <c r="AG20" s="12">
        <f>IF(AG3&lt;前提条件!$C$29,0,ROUNDUP(AG8/前提条件!$C$27,0))</f>
        <v/>
      </c>
      <c r="AH20" s="12">
        <f>IF(AH3&lt;前提条件!$C$29,0,ROUNDUP(AH8/前提条件!$C$27,0))</f>
        <v/>
      </c>
      <c r="AI20" s="12">
        <f>IF(AI3&lt;前提条件!$C$29,0,ROUNDUP(AI8/前提条件!$C$27,0))</f>
        <v/>
      </c>
      <c r="AJ20" s="12">
        <f>IF(AJ3&lt;前提条件!$C$29,0,ROUNDUP(AJ8/前提条件!$C$27,0))</f>
        <v/>
      </c>
      <c r="AK20" s="12">
        <f>IF(AK3&lt;前提条件!$C$29,0,ROUNDUP(AK8/前提条件!$C$27,0))</f>
        <v/>
      </c>
      <c r="AL20" s="12">
        <f>IF(AL3&lt;前提条件!$C$29,0,ROUNDUP(AL8/前提条件!$C$27,0))</f>
        <v/>
      </c>
      <c r="AM20" s="12">
        <f>IF(AM3&lt;前提条件!$C$29,0,ROUNDUP(AM8/前提条件!$C$27,0))</f>
        <v/>
      </c>
      <c r="AN20" s="12">
        <f>IF(AN3&lt;前提条件!$C$29,0,ROUNDUP(AN8/前提条件!$C$27,0))</f>
        <v/>
      </c>
      <c r="AO20" s="12">
        <f>IF(AO3&lt;前提条件!$C$29,0,ROUNDUP(AO8/前提条件!$C$27,0))</f>
        <v/>
      </c>
      <c r="AP20" s="12">
        <f>IF(AP3&lt;前提条件!$C$29,0,ROUNDUP(AP8/前提条件!$C$27,0))</f>
        <v/>
      </c>
      <c r="AQ20" s="12">
        <f>IF(AQ3&lt;前提条件!$C$29,0,ROUNDUP(AQ8/前提条件!$C$27,0))</f>
        <v/>
      </c>
      <c r="AR20" s="12">
        <f>IF(AR3&lt;前提条件!$C$29,0,ROUNDUP(AR8/前提条件!$C$27,0))</f>
        <v/>
      </c>
      <c r="AS20" s="12">
        <f>IF(AS3&lt;前提条件!$C$29,0,ROUNDUP(AS8/前提条件!$C$27,0))</f>
        <v/>
      </c>
      <c r="AT20" s="12">
        <f>IF(AT3&lt;前提条件!$C$29,0,ROUNDUP(AT8/前提条件!$C$27,0))</f>
        <v/>
      </c>
      <c r="AU20" s="12">
        <f>IF(AU3&lt;前提条件!$C$29,0,ROUNDUP(AU8/前提条件!$C$27,0))</f>
        <v/>
      </c>
      <c r="AV20" s="12">
        <f>IF(AV3&lt;前提条件!$C$29,0,ROUNDUP(AV8/前提条件!$C$27,0))</f>
        <v/>
      </c>
      <c r="AW20" s="12">
        <f>IF(AW3&lt;前提条件!$C$29,0,ROUNDUP(AW8/前提条件!$C$27,0))</f>
        <v/>
      </c>
      <c r="AX20" s="12">
        <f>IF(AX3&lt;前提条件!$C$29,0,ROUNDUP(AX8/前提条件!$C$27,0))</f>
        <v/>
      </c>
      <c r="AY20" s="12">
        <f>IF(AY3&lt;前提条件!$C$29,0,ROUNDUP(AY8/前提条件!$C$27,0))</f>
        <v/>
      </c>
      <c r="AZ20" s="12">
        <f>IF(AZ3&lt;前提条件!$C$29,0,ROUNDUP(AZ8/前提条件!$C$27,0))</f>
        <v/>
      </c>
      <c r="BA20" s="12">
        <f>IF(BA3&lt;前提条件!$C$29,0,ROUNDUP(BA8/前提条件!$C$27,0))</f>
        <v/>
      </c>
      <c r="BB20" s="12">
        <f>IF(BB3&lt;前提条件!$C$29,0,ROUNDUP(BB8/前提条件!$C$27,0))</f>
        <v/>
      </c>
      <c r="BC20" s="12">
        <f>IF(BC3&lt;前提条件!$C$29,0,ROUNDUP(BC8/前提条件!$C$27,0))</f>
        <v/>
      </c>
      <c r="BD20" s="12">
        <f>IF(BD3&lt;前提条件!$C$29,0,ROUNDUP(BD8/前提条件!$C$27,0))</f>
        <v/>
      </c>
      <c r="BE20" s="12">
        <f>IF(BE3&lt;前提条件!$C$29,0,ROUNDUP(BE8/前提条件!$C$27,0))</f>
        <v/>
      </c>
      <c r="BF20" s="12">
        <f>IF(BF3&lt;前提条件!$C$29,0,ROUNDUP(BF8/前提条件!$C$27,0))</f>
        <v/>
      </c>
      <c r="BG20" s="12">
        <f>IF(BG3&lt;前提条件!$C$29,0,ROUNDUP(BG8/前提条件!$C$27,0))</f>
        <v/>
      </c>
      <c r="BH20" s="12">
        <f>IF(BH3&lt;前提条件!$C$29,0,ROUNDUP(BH8/前提条件!$C$27,0))</f>
        <v/>
      </c>
      <c r="BI20" s="12">
        <f>IF(BI3&lt;前提条件!$C$29,0,ROUNDUP(BI8/前提条件!$C$27,0))</f>
        <v/>
      </c>
      <c r="BJ20" s="12">
        <f>IF(BJ3&lt;前提条件!$C$29,0,ROUNDUP(BJ8/前提条件!$C$27,0))</f>
        <v/>
      </c>
    </row>
    <row r="21">
      <c r="A21" t="inlineStr">
        <is>
          <t>CS人件費</t>
        </is>
      </c>
      <c r="C21" s="13">
        <f>C20*前提条件!$C$28</f>
        <v/>
      </c>
      <c r="D21" s="13">
        <f>D20*前提条件!$C$28</f>
        <v/>
      </c>
      <c r="E21" s="13">
        <f>E20*前提条件!$C$28</f>
        <v/>
      </c>
      <c r="F21" s="13">
        <f>F20*前提条件!$C$28</f>
        <v/>
      </c>
      <c r="G21" s="13">
        <f>G20*前提条件!$C$28</f>
        <v/>
      </c>
      <c r="H21" s="13">
        <f>H20*前提条件!$C$28</f>
        <v/>
      </c>
      <c r="I21" s="13">
        <f>I20*前提条件!$C$28</f>
        <v/>
      </c>
      <c r="J21" s="13">
        <f>J20*前提条件!$C$28</f>
        <v/>
      </c>
      <c r="K21" s="13">
        <f>K20*前提条件!$C$28</f>
        <v/>
      </c>
      <c r="L21" s="13">
        <f>L20*前提条件!$C$28</f>
        <v/>
      </c>
      <c r="M21" s="13">
        <f>M20*前提条件!$C$28</f>
        <v/>
      </c>
      <c r="N21" s="13">
        <f>N20*前提条件!$C$28</f>
        <v/>
      </c>
      <c r="O21" s="13">
        <f>O20*前提条件!$C$28</f>
        <v/>
      </c>
      <c r="P21" s="13">
        <f>P20*前提条件!$C$28</f>
        <v/>
      </c>
      <c r="Q21" s="13">
        <f>Q20*前提条件!$C$28</f>
        <v/>
      </c>
      <c r="R21" s="13">
        <f>R20*前提条件!$C$28</f>
        <v/>
      </c>
      <c r="S21" s="13">
        <f>S20*前提条件!$C$28</f>
        <v/>
      </c>
      <c r="T21" s="13">
        <f>T20*前提条件!$C$28</f>
        <v/>
      </c>
      <c r="U21" s="13">
        <f>U20*前提条件!$C$28</f>
        <v/>
      </c>
      <c r="V21" s="13">
        <f>V20*前提条件!$C$28</f>
        <v/>
      </c>
      <c r="W21" s="13">
        <f>W20*前提条件!$C$28</f>
        <v/>
      </c>
      <c r="X21" s="13">
        <f>X20*前提条件!$C$28</f>
        <v/>
      </c>
      <c r="Y21" s="13">
        <f>Y20*前提条件!$C$28</f>
        <v/>
      </c>
      <c r="Z21" s="13">
        <f>Z20*前提条件!$C$28</f>
        <v/>
      </c>
      <c r="AA21" s="13">
        <f>AA20*前提条件!$C$28</f>
        <v/>
      </c>
      <c r="AB21" s="13">
        <f>AB20*前提条件!$C$28</f>
        <v/>
      </c>
      <c r="AC21" s="13">
        <f>AC20*前提条件!$C$28</f>
        <v/>
      </c>
      <c r="AD21" s="13">
        <f>AD20*前提条件!$C$28</f>
        <v/>
      </c>
      <c r="AE21" s="13">
        <f>AE20*前提条件!$C$28</f>
        <v/>
      </c>
      <c r="AF21" s="13">
        <f>AF20*前提条件!$C$28</f>
        <v/>
      </c>
      <c r="AG21" s="13">
        <f>AG20*前提条件!$C$28</f>
        <v/>
      </c>
      <c r="AH21" s="13">
        <f>AH20*前提条件!$C$28</f>
        <v/>
      </c>
      <c r="AI21" s="13">
        <f>AI20*前提条件!$C$28</f>
        <v/>
      </c>
      <c r="AJ21" s="13">
        <f>AJ20*前提条件!$C$28</f>
        <v/>
      </c>
      <c r="AK21" s="13">
        <f>AK20*前提条件!$C$28</f>
        <v/>
      </c>
      <c r="AL21" s="13">
        <f>AL20*前提条件!$C$28</f>
        <v/>
      </c>
      <c r="AM21" s="13">
        <f>AM20*前提条件!$C$28</f>
        <v/>
      </c>
      <c r="AN21" s="13">
        <f>AN20*前提条件!$C$28</f>
        <v/>
      </c>
      <c r="AO21" s="13">
        <f>AO20*前提条件!$C$28</f>
        <v/>
      </c>
      <c r="AP21" s="13">
        <f>AP20*前提条件!$C$28</f>
        <v/>
      </c>
      <c r="AQ21" s="13">
        <f>AQ20*前提条件!$C$28</f>
        <v/>
      </c>
      <c r="AR21" s="13">
        <f>AR20*前提条件!$C$28</f>
        <v/>
      </c>
      <c r="AS21" s="13">
        <f>AS20*前提条件!$C$28</f>
        <v/>
      </c>
      <c r="AT21" s="13">
        <f>AT20*前提条件!$C$28</f>
        <v/>
      </c>
      <c r="AU21" s="13">
        <f>AU20*前提条件!$C$28</f>
        <v/>
      </c>
      <c r="AV21" s="13">
        <f>AV20*前提条件!$C$28</f>
        <v/>
      </c>
      <c r="AW21" s="13">
        <f>AW20*前提条件!$C$28</f>
        <v/>
      </c>
      <c r="AX21" s="13">
        <f>AX20*前提条件!$C$28</f>
        <v/>
      </c>
      <c r="AY21" s="13">
        <f>AY20*前提条件!$C$28</f>
        <v/>
      </c>
      <c r="AZ21" s="13">
        <f>AZ20*前提条件!$C$28</f>
        <v/>
      </c>
      <c r="BA21" s="13">
        <f>BA20*前提条件!$C$28</f>
        <v/>
      </c>
      <c r="BB21" s="13">
        <f>BB20*前提条件!$C$28</f>
        <v/>
      </c>
      <c r="BC21" s="13">
        <f>BC20*前提条件!$C$28</f>
        <v/>
      </c>
      <c r="BD21" s="13">
        <f>BD20*前提条件!$C$28</f>
        <v/>
      </c>
      <c r="BE21" s="13">
        <f>BE20*前提条件!$C$28</f>
        <v/>
      </c>
      <c r="BF21" s="13">
        <f>BF20*前提条件!$C$28</f>
        <v/>
      </c>
      <c r="BG21" s="13">
        <f>BG20*前提条件!$C$28</f>
        <v/>
      </c>
      <c r="BH21" s="13">
        <f>BH20*前提条件!$C$28</f>
        <v/>
      </c>
      <c r="BI21" s="13">
        <f>BI20*前提条件!$C$28</f>
        <v/>
      </c>
      <c r="BJ21" s="13">
        <f>BJ20*前提条件!$C$28</f>
        <v/>
      </c>
    </row>
    <row r="22">
      <c r="A22" t="inlineStr">
        <is>
          <t>マーケティング費</t>
        </is>
      </c>
      <c r="C22" s="13">
        <f>IF(C4=1,前提条件!$C$30,IF(C4=2,前提条件!$C$31,前提条件!$C$32))</f>
        <v/>
      </c>
      <c r="D22" s="13">
        <f>IF(D4=1,前提条件!$C$30,IF(D4=2,前提条件!$C$31,前提条件!$C$32))</f>
        <v/>
      </c>
      <c r="E22" s="13">
        <f>IF(E4=1,前提条件!$C$30,IF(E4=2,前提条件!$C$31,前提条件!$C$32))</f>
        <v/>
      </c>
      <c r="F22" s="13">
        <f>IF(F4=1,前提条件!$C$30,IF(F4=2,前提条件!$C$31,前提条件!$C$32))</f>
        <v/>
      </c>
      <c r="G22" s="13">
        <f>IF(G4=1,前提条件!$C$30,IF(G4=2,前提条件!$C$31,前提条件!$C$32))</f>
        <v/>
      </c>
      <c r="H22" s="13">
        <f>IF(H4=1,前提条件!$C$30,IF(H4=2,前提条件!$C$31,前提条件!$C$32))</f>
        <v/>
      </c>
      <c r="I22" s="13">
        <f>IF(I4=1,前提条件!$C$30,IF(I4=2,前提条件!$C$31,前提条件!$C$32))</f>
        <v/>
      </c>
      <c r="J22" s="13">
        <f>IF(J4=1,前提条件!$C$30,IF(J4=2,前提条件!$C$31,前提条件!$C$32))</f>
        <v/>
      </c>
      <c r="K22" s="13">
        <f>IF(K4=1,前提条件!$C$30,IF(K4=2,前提条件!$C$31,前提条件!$C$32))</f>
        <v/>
      </c>
      <c r="L22" s="13">
        <f>IF(L4=1,前提条件!$C$30,IF(L4=2,前提条件!$C$31,前提条件!$C$32))</f>
        <v/>
      </c>
      <c r="M22" s="13">
        <f>IF(M4=1,前提条件!$C$30,IF(M4=2,前提条件!$C$31,前提条件!$C$32))</f>
        <v/>
      </c>
      <c r="N22" s="13">
        <f>IF(N4=1,前提条件!$C$30,IF(N4=2,前提条件!$C$31,前提条件!$C$32))</f>
        <v/>
      </c>
      <c r="O22" s="13">
        <f>IF(O4=1,前提条件!$C$30,IF(O4=2,前提条件!$C$31,前提条件!$C$32))</f>
        <v/>
      </c>
      <c r="P22" s="13">
        <f>IF(P4=1,前提条件!$C$30,IF(P4=2,前提条件!$C$31,前提条件!$C$32))</f>
        <v/>
      </c>
      <c r="Q22" s="13">
        <f>IF(Q4=1,前提条件!$C$30,IF(Q4=2,前提条件!$C$31,前提条件!$C$32))</f>
        <v/>
      </c>
      <c r="R22" s="13">
        <f>IF(R4=1,前提条件!$C$30,IF(R4=2,前提条件!$C$31,前提条件!$C$32))</f>
        <v/>
      </c>
      <c r="S22" s="13">
        <f>IF(S4=1,前提条件!$C$30,IF(S4=2,前提条件!$C$31,前提条件!$C$32))</f>
        <v/>
      </c>
      <c r="T22" s="13">
        <f>IF(T4=1,前提条件!$C$30,IF(T4=2,前提条件!$C$31,前提条件!$C$32))</f>
        <v/>
      </c>
      <c r="U22" s="13">
        <f>IF(U4=1,前提条件!$C$30,IF(U4=2,前提条件!$C$31,前提条件!$C$32))</f>
        <v/>
      </c>
      <c r="V22" s="13">
        <f>IF(V4=1,前提条件!$C$30,IF(V4=2,前提条件!$C$31,前提条件!$C$32))</f>
        <v/>
      </c>
      <c r="W22" s="13">
        <f>IF(W4=1,前提条件!$C$30,IF(W4=2,前提条件!$C$31,前提条件!$C$32))</f>
        <v/>
      </c>
      <c r="X22" s="13">
        <f>IF(X4=1,前提条件!$C$30,IF(X4=2,前提条件!$C$31,前提条件!$C$32))</f>
        <v/>
      </c>
      <c r="Y22" s="13">
        <f>IF(Y4=1,前提条件!$C$30,IF(Y4=2,前提条件!$C$31,前提条件!$C$32))</f>
        <v/>
      </c>
      <c r="Z22" s="13">
        <f>IF(Z4=1,前提条件!$C$30,IF(Z4=2,前提条件!$C$31,前提条件!$C$32))</f>
        <v/>
      </c>
      <c r="AA22" s="13">
        <f>IF(AA4=1,前提条件!$C$30,IF(AA4=2,前提条件!$C$31,前提条件!$C$32))</f>
        <v/>
      </c>
      <c r="AB22" s="13">
        <f>IF(AB4=1,前提条件!$C$30,IF(AB4=2,前提条件!$C$31,前提条件!$C$32))</f>
        <v/>
      </c>
      <c r="AC22" s="13">
        <f>IF(AC4=1,前提条件!$C$30,IF(AC4=2,前提条件!$C$31,前提条件!$C$32))</f>
        <v/>
      </c>
      <c r="AD22" s="13">
        <f>IF(AD4=1,前提条件!$C$30,IF(AD4=2,前提条件!$C$31,前提条件!$C$32))</f>
        <v/>
      </c>
      <c r="AE22" s="13">
        <f>IF(AE4=1,前提条件!$C$30,IF(AE4=2,前提条件!$C$31,前提条件!$C$32))</f>
        <v/>
      </c>
      <c r="AF22" s="13">
        <f>IF(AF4=1,前提条件!$C$30,IF(AF4=2,前提条件!$C$31,前提条件!$C$32))</f>
        <v/>
      </c>
      <c r="AG22" s="13">
        <f>IF(AG4=1,前提条件!$C$30,IF(AG4=2,前提条件!$C$31,前提条件!$C$32))</f>
        <v/>
      </c>
      <c r="AH22" s="13">
        <f>IF(AH4=1,前提条件!$C$30,IF(AH4=2,前提条件!$C$31,前提条件!$C$32))</f>
        <v/>
      </c>
      <c r="AI22" s="13">
        <f>IF(AI4=1,前提条件!$C$30,IF(AI4=2,前提条件!$C$31,前提条件!$C$32))</f>
        <v/>
      </c>
      <c r="AJ22" s="13">
        <f>IF(AJ4=1,前提条件!$C$30,IF(AJ4=2,前提条件!$C$31,前提条件!$C$32))</f>
        <v/>
      </c>
      <c r="AK22" s="13">
        <f>IF(AK4=1,前提条件!$C$30,IF(AK4=2,前提条件!$C$31,前提条件!$C$32))</f>
        <v/>
      </c>
      <c r="AL22" s="13">
        <f>IF(AL4=1,前提条件!$C$30,IF(AL4=2,前提条件!$C$31,前提条件!$C$32))</f>
        <v/>
      </c>
      <c r="AM22" s="13">
        <f>IF(AM4=1,前提条件!$C$30,IF(AM4=2,前提条件!$C$31,前提条件!$C$32))</f>
        <v/>
      </c>
      <c r="AN22" s="13">
        <f>IF(AN4=1,前提条件!$C$30,IF(AN4=2,前提条件!$C$31,前提条件!$C$32))</f>
        <v/>
      </c>
      <c r="AO22" s="13">
        <f>IF(AO4=1,前提条件!$C$30,IF(AO4=2,前提条件!$C$31,前提条件!$C$32))</f>
        <v/>
      </c>
      <c r="AP22" s="13">
        <f>IF(AP4=1,前提条件!$C$30,IF(AP4=2,前提条件!$C$31,前提条件!$C$32))</f>
        <v/>
      </c>
      <c r="AQ22" s="13">
        <f>IF(AQ4=1,前提条件!$C$30,IF(AQ4=2,前提条件!$C$31,前提条件!$C$32))</f>
        <v/>
      </c>
      <c r="AR22" s="13">
        <f>IF(AR4=1,前提条件!$C$30,IF(AR4=2,前提条件!$C$31,前提条件!$C$32))</f>
        <v/>
      </c>
      <c r="AS22" s="13">
        <f>IF(AS4=1,前提条件!$C$30,IF(AS4=2,前提条件!$C$31,前提条件!$C$32))</f>
        <v/>
      </c>
      <c r="AT22" s="13">
        <f>IF(AT4=1,前提条件!$C$30,IF(AT4=2,前提条件!$C$31,前提条件!$C$32))</f>
        <v/>
      </c>
      <c r="AU22" s="13">
        <f>IF(AU4=1,前提条件!$C$30,IF(AU4=2,前提条件!$C$31,前提条件!$C$32))</f>
        <v/>
      </c>
      <c r="AV22" s="13">
        <f>IF(AV4=1,前提条件!$C$30,IF(AV4=2,前提条件!$C$31,前提条件!$C$32))</f>
        <v/>
      </c>
      <c r="AW22" s="13">
        <f>IF(AW4=1,前提条件!$C$30,IF(AW4=2,前提条件!$C$31,前提条件!$C$32))</f>
        <v/>
      </c>
      <c r="AX22" s="13">
        <f>IF(AX4=1,前提条件!$C$30,IF(AX4=2,前提条件!$C$31,前提条件!$C$32))</f>
        <v/>
      </c>
      <c r="AY22" s="13">
        <f>IF(AY4=1,前提条件!$C$30,IF(AY4=2,前提条件!$C$31,前提条件!$C$32))</f>
        <v/>
      </c>
      <c r="AZ22" s="13">
        <f>IF(AZ4=1,前提条件!$C$30,IF(AZ4=2,前提条件!$C$31,前提条件!$C$32))</f>
        <v/>
      </c>
      <c r="BA22" s="13">
        <f>IF(BA4=1,前提条件!$C$30,IF(BA4=2,前提条件!$C$31,前提条件!$C$32))</f>
        <v/>
      </c>
      <c r="BB22" s="13">
        <f>IF(BB4=1,前提条件!$C$30,IF(BB4=2,前提条件!$C$31,前提条件!$C$32))</f>
        <v/>
      </c>
      <c r="BC22" s="13">
        <f>IF(BC4=1,前提条件!$C$30,IF(BC4=2,前提条件!$C$31,前提条件!$C$32))</f>
        <v/>
      </c>
      <c r="BD22" s="13">
        <f>IF(BD4=1,前提条件!$C$30,IF(BD4=2,前提条件!$C$31,前提条件!$C$32))</f>
        <v/>
      </c>
      <c r="BE22" s="13">
        <f>IF(BE4=1,前提条件!$C$30,IF(BE4=2,前提条件!$C$31,前提条件!$C$32))</f>
        <v/>
      </c>
      <c r="BF22" s="13">
        <f>IF(BF4=1,前提条件!$C$30,IF(BF4=2,前提条件!$C$31,前提条件!$C$32))</f>
        <v/>
      </c>
      <c r="BG22" s="13">
        <f>IF(BG4=1,前提条件!$C$30,IF(BG4=2,前提条件!$C$31,前提条件!$C$32))</f>
        <v/>
      </c>
      <c r="BH22" s="13">
        <f>IF(BH4=1,前提条件!$C$30,IF(BH4=2,前提条件!$C$31,前提条件!$C$32))</f>
        <v/>
      </c>
      <c r="BI22" s="13">
        <f>IF(BI4=1,前提条件!$C$30,IF(BI4=2,前提条件!$C$31,前提条件!$C$32))</f>
        <v/>
      </c>
      <c r="BJ22" s="13">
        <f>IF(BJ4=1,前提条件!$C$30,IF(BJ4=2,前提条件!$C$31,前提条件!$C$32))</f>
        <v/>
      </c>
    </row>
    <row r="23">
      <c r="A23" t="inlineStr">
        <is>
          <t>家賃</t>
        </is>
      </c>
      <c r="C23" s="13">
        <f>IF(C4=1,前提条件!$C$33,IF(C4=2,前提条件!$C$34,前提条件!$C$35))</f>
        <v/>
      </c>
      <c r="D23" s="13">
        <f>IF(D4=1,前提条件!$C$33,IF(D4=2,前提条件!$C$34,前提条件!$C$35))</f>
        <v/>
      </c>
      <c r="E23" s="13">
        <f>IF(E4=1,前提条件!$C$33,IF(E4=2,前提条件!$C$34,前提条件!$C$35))</f>
        <v/>
      </c>
      <c r="F23" s="13">
        <f>IF(F4=1,前提条件!$C$33,IF(F4=2,前提条件!$C$34,前提条件!$C$35))</f>
        <v/>
      </c>
      <c r="G23" s="13">
        <f>IF(G4=1,前提条件!$C$33,IF(G4=2,前提条件!$C$34,前提条件!$C$35))</f>
        <v/>
      </c>
      <c r="H23" s="13">
        <f>IF(H4=1,前提条件!$C$33,IF(H4=2,前提条件!$C$34,前提条件!$C$35))</f>
        <v/>
      </c>
      <c r="I23" s="13">
        <f>IF(I4=1,前提条件!$C$33,IF(I4=2,前提条件!$C$34,前提条件!$C$35))</f>
        <v/>
      </c>
      <c r="J23" s="13">
        <f>IF(J4=1,前提条件!$C$33,IF(J4=2,前提条件!$C$34,前提条件!$C$35))</f>
        <v/>
      </c>
      <c r="K23" s="13">
        <f>IF(K4=1,前提条件!$C$33,IF(K4=2,前提条件!$C$34,前提条件!$C$35))</f>
        <v/>
      </c>
      <c r="L23" s="13">
        <f>IF(L4=1,前提条件!$C$33,IF(L4=2,前提条件!$C$34,前提条件!$C$35))</f>
        <v/>
      </c>
      <c r="M23" s="13">
        <f>IF(M4=1,前提条件!$C$33,IF(M4=2,前提条件!$C$34,前提条件!$C$35))</f>
        <v/>
      </c>
      <c r="N23" s="13">
        <f>IF(N4=1,前提条件!$C$33,IF(N4=2,前提条件!$C$34,前提条件!$C$35))</f>
        <v/>
      </c>
      <c r="O23" s="13">
        <f>IF(O4=1,前提条件!$C$33,IF(O4=2,前提条件!$C$34,前提条件!$C$35))</f>
        <v/>
      </c>
      <c r="P23" s="13">
        <f>IF(P4=1,前提条件!$C$33,IF(P4=2,前提条件!$C$34,前提条件!$C$35))</f>
        <v/>
      </c>
      <c r="Q23" s="13">
        <f>IF(Q4=1,前提条件!$C$33,IF(Q4=2,前提条件!$C$34,前提条件!$C$35))</f>
        <v/>
      </c>
      <c r="R23" s="13">
        <f>IF(R4=1,前提条件!$C$33,IF(R4=2,前提条件!$C$34,前提条件!$C$35))</f>
        <v/>
      </c>
      <c r="S23" s="13">
        <f>IF(S4=1,前提条件!$C$33,IF(S4=2,前提条件!$C$34,前提条件!$C$35))</f>
        <v/>
      </c>
      <c r="T23" s="13">
        <f>IF(T4=1,前提条件!$C$33,IF(T4=2,前提条件!$C$34,前提条件!$C$35))</f>
        <v/>
      </c>
      <c r="U23" s="13">
        <f>IF(U4=1,前提条件!$C$33,IF(U4=2,前提条件!$C$34,前提条件!$C$35))</f>
        <v/>
      </c>
      <c r="V23" s="13">
        <f>IF(V4=1,前提条件!$C$33,IF(V4=2,前提条件!$C$34,前提条件!$C$35))</f>
        <v/>
      </c>
      <c r="W23" s="13">
        <f>IF(W4=1,前提条件!$C$33,IF(W4=2,前提条件!$C$34,前提条件!$C$35))</f>
        <v/>
      </c>
      <c r="X23" s="13">
        <f>IF(X4=1,前提条件!$C$33,IF(X4=2,前提条件!$C$34,前提条件!$C$35))</f>
        <v/>
      </c>
      <c r="Y23" s="13">
        <f>IF(Y4=1,前提条件!$C$33,IF(Y4=2,前提条件!$C$34,前提条件!$C$35))</f>
        <v/>
      </c>
      <c r="Z23" s="13">
        <f>IF(Z4=1,前提条件!$C$33,IF(Z4=2,前提条件!$C$34,前提条件!$C$35))</f>
        <v/>
      </c>
      <c r="AA23" s="13">
        <f>IF(AA4=1,前提条件!$C$33,IF(AA4=2,前提条件!$C$34,前提条件!$C$35))</f>
        <v/>
      </c>
      <c r="AB23" s="13">
        <f>IF(AB4=1,前提条件!$C$33,IF(AB4=2,前提条件!$C$34,前提条件!$C$35))</f>
        <v/>
      </c>
      <c r="AC23" s="13">
        <f>IF(AC4=1,前提条件!$C$33,IF(AC4=2,前提条件!$C$34,前提条件!$C$35))</f>
        <v/>
      </c>
      <c r="AD23" s="13">
        <f>IF(AD4=1,前提条件!$C$33,IF(AD4=2,前提条件!$C$34,前提条件!$C$35))</f>
        <v/>
      </c>
      <c r="AE23" s="13">
        <f>IF(AE4=1,前提条件!$C$33,IF(AE4=2,前提条件!$C$34,前提条件!$C$35))</f>
        <v/>
      </c>
      <c r="AF23" s="13">
        <f>IF(AF4=1,前提条件!$C$33,IF(AF4=2,前提条件!$C$34,前提条件!$C$35))</f>
        <v/>
      </c>
      <c r="AG23" s="13">
        <f>IF(AG4=1,前提条件!$C$33,IF(AG4=2,前提条件!$C$34,前提条件!$C$35))</f>
        <v/>
      </c>
      <c r="AH23" s="13">
        <f>IF(AH4=1,前提条件!$C$33,IF(AH4=2,前提条件!$C$34,前提条件!$C$35))</f>
        <v/>
      </c>
      <c r="AI23" s="13">
        <f>IF(AI4=1,前提条件!$C$33,IF(AI4=2,前提条件!$C$34,前提条件!$C$35))</f>
        <v/>
      </c>
      <c r="AJ23" s="13">
        <f>IF(AJ4=1,前提条件!$C$33,IF(AJ4=2,前提条件!$C$34,前提条件!$C$35))</f>
        <v/>
      </c>
      <c r="AK23" s="13">
        <f>IF(AK4=1,前提条件!$C$33,IF(AK4=2,前提条件!$C$34,前提条件!$C$35))</f>
        <v/>
      </c>
      <c r="AL23" s="13">
        <f>IF(AL4=1,前提条件!$C$33,IF(AL4=2,前提条件!$C$34,前提条件!$C$35))</f>
        <v/>
      </c>
      <c r="AM23" s="13">
        <f>IF(AM4=1,前提条件!$C$33,IF(AM4=2,前提条件!$C$34,前提条件!$C$35))</f>
        <v/>
      </c>
      <c r="AN23" s="13">
        <f>IF(AN4=1,前提条件!$C$33,IF(AN4=2,前提条件!$C$34,前提条件!$C$35))</f>
        <v/>
      </c>
      <c r="AO23" s="13">
        <f>IF(AO4=1,前提条件!$C$33,IF(AO4=2,前提条件!$C$34,前提条件!$C$35))</f>
        <v/>
      </c>
      <c r="AP23" s="13">
        <f>IF(AP4=1,前提条件!$C$33,IF(AP4=2,前提条件!$C$34,前提条件!$C$35))</f>
        <v/>
      </c>
      <c r="AQ23" s="13">
        <f>IF(AQ4=1,前提条件!$C$33,IF(AQ4=2,前提条件!$C$34,前提条件!$C$35))</f>
        <v/>
      </c>
      <c r="AR23" s="13">
        <f>IF(AR4=1,前提条件!$C$33,IF(AR4=2,前提条件!$C$34,前提条件!$C$35))</f>
        <v/>
      </c>
      <c r="AS23" s="13">
        <f>IF(AS4=1,前提条件!$C$33,IF(AS4=2,前提条件!$C$34,前提条件!$C$35))</f>
        <v/>
      </c>
      <c r="AT23" s="13">
        <f>IF(AT4=1,前提条件!$C$33,IF(AT4=2,前提条件!$C$34,前提条件!$C$35))</f>
        <v/>
      </c>
      <c r="AU23" s="13">
        <f>IF(AU4=1,前提条件!$C$33,IF(AU4=2,前提条件!$C$34,前提条件!$C$35))</f>
        <v/>
      </c>
      <c r="AV23" s="13">
        <f>IF(AV4=1,前提条件!$C$33,IF(AV4=2,前提条件!$C$34,前提条件!$C$35))</f>
        <v/>
      </c>
      <c r="AW23" s="13">
        <f>IF(AW4=1,前提条件!$C$33,IF(AW4=2,前提条件!$C$34,前提条件!$C$35))</f>
        <v/>
      </c>
      <c r="AX23" s="13">
        <f>IF(AX4=1,前提条件!$C$33,IF(AX4=2,前提条件!$C$34,前提条件!$C$35))</f>
        <v/>
      </c>
      <c r="AY23" s="13">
        <f>IF(AY4=1,前提条件!$C$33,IF(AY4=2,前提条件!$C$34,前提条件!$C$35))</f>
        <v/>
      </c>
      <c r="AZ23" s="13">
        <f>IF(AZ4=1,前提条件!$C$33,IF(AZ4=2,前提条件!$C$34,前提条件!$C$35))</f>
        <v/>
      </c>
      <c r="BA23" s="13">
        <f>IF(BA4=1,前提条件!$C$33,IF(BA4=2,前提条件!$C$34,前提条件!$C$35))</f>
        <v/>
      </c>
      <c r="BB23" s="13">
        <f>IF(BB4=1,前提条件!$C$33,IF(BB4=2,前提条件!$C$34,前提条件!$C$35))</f>
        <v/>
      </c>
      <c r="BC23" s="13">
        <f>IF(BC4=1,前提条件!$C$33,IF(BC4=2,前提条件!$C$34,前提条件!$C$35))</f>
        <v/>
      </c>
      <c r="BD23" s="13">
        <f>IF(BD4=1,前提条件!$C$33,IF(BD4=2,前提条件!$C$34,前提条件!$C$35))</f>
        <v/>
      </c>
      <c r="BE23" s="13">
        <f>IF(BE4=1,前提条件!$C$33,IF(BE4=2,前提条件!$C$34,前提条件!$C$35))</f>
        <v/>
      </c>
      <c r="BF23" s="13">
        <f>IF(BF4=1,前提条件!$C$33,IF(BF4=2,前提条件!$C$34,前提条件!$C$35))</f>
        <v/>
      </c>
      <c r="BG23" s="13">
        <f>IF(BG4=1,前提条件!$C$33,IF(BG4=2,前提条件!$C$34,前提条件!$C$35))</f>
        <v/>
      </c>
      <c r="BH23" s="13">
        <f>IF(BH4=1,前提条件!$C$33,IF(BH4=2,前提条件!$C$34,前提条件!$C$35))</f>
        <v/>
      </c>
      <c r="BI23" s="13">
        <f>IF(BI4=1,前提条件!$C$33,IF(BI4=2,前提条件!$C$34,前提条件!$C$35))</f>
        <v/>
      </c>
      <c r="BJ23" s="13">
        <f>IF(BJ4=1,前提条件!$C$33,IF(BJ4=2,前提条件!$C$34,前提条件!$C$35))</f>
        <v/>
      </c>
    </row>
    <row r="24">
      <c r="A24" t="inlineStr">
        <is>
          <t>法務・会計・雑費</t>
        </is>
      </c>
      <c r="C24" s="13">
        <f>前提条件!$C$36</f>
        <v/>
      </c>
      <c r="D24" s="13">
        <f>前提条件!$C$36</f>
        <v/>
      </c>
      <c r="E24" s="13">
        <f>前提条件!$C$36</f>
        <v/>
      </c>
      <c r="F24" s="13">
        <f>前提条件!$C$36</f>
        <v/>
      </c>
      <c r="G24" s="13">
        <f>前提条件!$C$36</f>
        <v/>
      </c>
      <c r="H24" s="13">
        <f>前提条件!$C$36</f>
        <v/>
      </c>
      <c r="I24" s="13">
        <f>前提条件!$C$36</f>
        <v/>
      </c>
      <c r="J24" s="13">
        <f>前提条件!$C$36</f>
        <v/>
      </c>
      <c r="K24" s="13">
        <f>前提条件!$C$36</f>
        <v/>
      </c>
      <c r="L24" s="13">
        <f>前提条件!$C$36</f>
        <v/>
      </c>
      <c r="M24" s="13">
        <f>前提条件!$C$36</f>
        <v/>
      </c>
      <c r="N24" s="13">
        <f>前提条件!$C$36</f>
        <v/>
      </c>
      <c r="O24" s="13">
        <f>前提条件!$C$36</f>
        <v/>
      </c>
      <c r="P24" s="13">
        <f>前提条件!$C$36</f>
        <v/>
      </c>
      <c r="Q24" s="13">
        <f>前提条件!$C$36</f>
        <v/>
      </c>
      <c r="R24" s="13">
        <f>前提条件!$C$36</f>
        <v/>
      </c>
      <c r="S24" s="13">
        <f>前提条件!$C$36</f>
        <v/>
      </c>
      <c r="T24" s="13">
        <f>前提条件!$C$36</f>
        <v/>
      </c>
      <c r="U24" s="13">
        <f>前提条件!$C$36</f>
        <v/>
      </c>
      <c r="V24" s="13">
        <f>前提条件!$C$36</f>
        <v/>
      </c>
      <c r="W24" s="13">
        <f>前提条件!$C$36</f>
        <v/>
      </c>
      <c r="X24" s="13">
        <f>前提条件!$C$36</f>
        <v/>
      </c>
      <c r="Y24" s="13">
        <f>前提条件!$C$36</f>
        <v/>
      </c>
      <c r="Z24" s="13">
        <f>前提条件!$C$36</f>
        <v/>
      </c>
      <c r="AA24" s="13">
        <f>前提条件!$C$36</f>
        <v/>
      </c>
      <c r="AB24" s="13">
        <f>前提条件!$C$36</f>
        <v/>
      </c>
      <c r="AC24" s="13">
        <f>前提条件!$C$36</f>
        <v/>
      </c>
      <c r="AD24" s="13">
        <f>前提条件!$C$36</f>
        <v/>
      </c>
      <c r="AE24" s="13">
        <f>前提条件!$C$36</f>
        <v/>
      </c>
      <c r="AF24" s="13">
        <f>前提条件!$C$36</f>
        <v/>
      </c>
      <c r="AG24" s="13">
        <f>前提条件!$C$36</f>
        <v/>
      </c>
      <c r="AH24" s="13">
        <f>前提条件!$C$36</f>
        <v/>
      </c>
      <c r="AI24" s="13">
        <f>前提条件!$C$36</f>
        <v/>
      </c>
      <c r="AJ24" s="13">
        <f>前提条件!$C$36</f>
        <v/>
      </c>
      <c r="AK24" s="13">
        <f>前提条件!$C$36</f>
        <v/>
      </c>
      <c r="AL24" s="13">
        <f>前提条件!$C$36</f>
        <v/>
      </c>
      <c r="AM24" s="13">
        <f>前提条件!$C$36</f>
        <v/>
      </c>
      <c r="AN24" s="13">
        <f>前提条件!$C$36</f>
        <v/>
      </c>
      <c r="AO24" s="13">
        <f>前提条件!$C$36</f>
        <v/>
      </c>
      <c r="AP24" s="13">
        <f>前提条件!$C$36</f>
        <v/>
      </c>
      <c r="AQ24" s="13">
        <f>前提条件!$C$36</f>
        <v/>
      </c>
      <c r="AR24" s="13">
        <f>前提条件!$C$36</f>
        <v/>
      </c>
      <c r="AS24" s="13">
        <f>前提条件!$C$36</f>
        <v/>
      </c>
      <c r="AT24" s="13">
        <f>前提条件!$C$36</f>
        <v/>
      </c>
      <c r="AU24" s="13">
        <f>前提条件!$C$36</f>
        <v/>
      </c>
      <c r="AV24" s="13">
        <f>前提条件!$C$36</f>
        <v/>
      </c>
      <c r="AW24" s="13">
        <f>前提条件!$C$36</f>
        <v/>
      </c>
      <c r="AX24" s="13">
        <f>前提条件!$C$36</f>
        <v/>
      </c>
      <c r="AY24" s="13">
        <f>前提条件!$C$36</f>
        <v/>
      </c>
      <c r="AZ24" s="13">
        <f>前提条件!$C$36</f>
        <v/>
      </c>
      <c r="BA24" s="13">
        <f>前提条件!$C$36</f>
        <v/>
      </c>
      <c r="BB24" s="13">
        <f>前提条件!$C$36</f>
        <v/>
      </c>
      <c r="BC24" s="13">
        <f>前提条件!$C$36</f>
        <v/>
      </c>
      <c r="BD24" s="13">
        <f>前提条件!$C$36</f>
        <v/>
      </c>
      <c r="BE24" s="13">
        <f>前提条件!$C$36</f>
        <v/>
      </c>
      <c r="BF24" s="13">
        <f>前提条件!$C$36</f>
        <v/>
      </c>
      <c r="BG24" s="13">
        <f>前提条件!$C$36</f>
        <v/>
      </c>
      <c r="BH24" s="13">
        <f>前提条件!$C$36</f>
        <v/>
      </c>
      <c r="BI24" s="13">
        <f>前提条件!$C$36</f>
        <v/>
      </c>
      <c r="BJ24" s="13">
        <f>前提条件!$C$36</f>
        <v/>
      </c>
    </row>
    <row r="25">
      <c r="A25" s="5" t="inlineStr">
        <is>
          <t>費用合計</t>
        </is>
      </c>
      <c r="B25" s="5" t="n"/>
      <c r="C25" s="14">
        <f>C14+C15+C16+C17+C19+C21+C22+C23+C24</f>
        <v/>
      </c>
      <c r="D25" s="14">
        <f>D14+D15+D16+D17+D19+D21+D22+D23+D24</f>
        <v/>
      </c>
      <c r="E25" s="14">
        <f>E14+E15+E16+E17+E19+E21+E22+E23+E24</f>
        <v/>
      </c>
      <c r="F25" s="14">
        <f>F14+F15+F16+F17+F19+F21+F22+F23+F24</f>
        <v/>
      </c>
      <c r="G25" s="14">
        <f>G14+G15+G16+G17+G19+G21+G22+G23+G24</f>
        <v/>
      </c>
      <c r="H25" s="14">
        <f>H14+H15+H16+H17+H19+H21+H22+H23+H24</f>
        <v/>
      </c>
      <c r="I25" s="14">
        <f>I14+I15+I16+I17+I19+I21+I22+I23+I24</f>
        <v/>
      </c>
      <c r="J25" s="14">
        <f>J14+J15+J16+J17+J19+J21+J22+J23+J24</f>
        <v/>
      </c>
      <c r="K25" s="14">
        <f>K14+K15+K16+K17+K19+K21+K22+K23+K24</f>
        <v/>
      </c>
      <c r="L25" s="14">
        <f>L14+L15+L16+L17+L19+L21+L22+L23+L24</f>
        <v/>
      </c>
      <c r="M25" s="14">
        <f>M14+M15+M16+M17+M19+M21+M22+M23+M24</f>
        <v/>
      </c>
      <c r="N25" s="14">
        <f>N14+N15+N16+N17+N19+N21+N22+N23+N24</f>
        <v/>
      </c>
      <c r="O25" s="14">
        <f>O14+O15+O16+O17+O19+O21+O22+O23+O24</f>
        <v/>
      </c>
      <c r="P25" s="14">
        <f>P14+P15+P16+P17+P19+P21+P22+P23+P24</f>
        <v/>
      </c>
      <c r="Q25" s="14">
        <f>Q14+Q15+Q16+Q17+Q19+Q21+Q22+Q23+Q24</f>
        <v/>
      </c>
      <c r="R25" s="14">
        <f>R14+R15+R16+R17+R19+R21+R22+R23+R24</f>
        <v/>
      </c>
      <c r="S25" s="14">
        <f>S14+S15+S16+S17+S19+S21+S22+S23+S24</f>
        <v/>
      </c>
      <c r="T25" s="14">
        <f>T14+T15+T16+T17+T19+T21+T22+T23+T24</f>
        <v/>
      </c>
      <c r="U25" s="14">
        <f>U14+U15+U16+U17+U19+U21+U22+U23+U24</f>
        <v/>
      </c>
      <c r="V25" s="14">
        <f>V14+V15+V16+V17+V19+V21+V22+V23+V24</f>
        <v/>
      </c>
      <c r="W25" s="14">
        <f>W14+W15+W16+W17+W19+W21+W22+W23+W24</f>
        <v/>
      </c>
      <c r="X25" s="14">
        <f>X14+X15+X16+X17+X19+X21+X22+X23+X24</f>
        <v/>
      </c>
      <c r="Y25" s="14">
        <f>Y14+Y15+Y16+Y17+Y19+Y21+Y22+Y23+Y24</f>
        <v/>
      </c>
      <c r="Z25" s="14">
        <f>Z14+Z15+Z16+Z17+Z19+Z21+Z22+Z23+Z24</f>
        <v/>
      </c>
      <c r="AA25" s="14">
        <f>AA14+AA15+AA16+AA17+AA19+AA21+AA22+AA23+AA24</f>
        <v/>
      </c>
      <c r="AB25" s="14">
        <f>AB14+AB15+AB16+AB17+AB19+AB21+AB22+AB23+AB24</f>
        <v/>
      </c>
      <c r="AC25" s="14">
        <f>AC14+AC15+AC16+AC17+AC19+AC21+AC22+AC23+AC24</f>
        <v/>
      </c>
      <c r="AD25" s="14">
        <f>AD14+AD15+AD16+AD17+AD19+AD21+AD22+AD23+AD24</f>
        <v/>
      </c>
      <c r="AE25" s="14">
        <f>AE14+AE15+AE16+AE17+AE19+AE21+AE22+AE23+AE24</f>
        <v/>
      </c>
      <c r="AF25" s="14">
        <f>AF14+AF15+AF16+AF17+AF19+AF21+AF22+AF23+AF24</f>
        <v/>
      </c>
      <c r="AG25" s="14">
        <f>AG14+AG15+AG16+AG17+AG19+AG21+AG22+AG23+AG24</f>
        <v/>
      </c>
      <c r="AH25" s="14">
        <f>AH14+AH15+AH16+AH17+AH19+AH21+AH22+AH23+AH24</f>
        <v/>
      </c>
      <c r="AI25" s="14">
        <f>AI14+AI15+AI16+AI17+AI19+AI21+AI22+AI23+AI24</f>
        <v/>
      </c>
      <c r="AJ25" s="14">
        <f>AJ14+AJ15+AJ16+AJ17+AJ19+AJ21+AJ22+AJ23+AJ24</f>
        <v/>
      </c>
      <c r="AK25" s="14">
        <f>AK14+AK15+AK16+AK17+AK19+AK21+AK22+AK23+AK24</f>
        <v/>
      </c>
      <c r="AL25" s="14">
        <f>AL14+AL15+AL16+AL17+AL19+AL21+AL22+AL23+AL24</f>
        <v/>
      </c>
      <c r="AM25" s="14">
        <f>AM14+AM15+AM16+AM17+AM19+AM21+AM22+AM23+AM24</f>
        <v/>
      </c>
      <c r="AN25" s="14">
        <f>AN14+AN15+AN16+AN17+AN19+AN21+AN22+AN23+AN24</f>
        <v/>
      </c>
      <c r="AO25" s="14">
        <f>AO14+AO15+AO16+AO17+AO19+AO21+AO22+AO23+AO24</f>
        <v/>
      </c>
      <c r="AP25" s="14">
        <f>AP14+AP15+AP16+AP17+AP19+AP21+AP22+AP23+AP24</f>
        <v/>
      </c>
      <c r="AQ25" s="14">
        <f>AQ14+AQ15+AQ16+AQ17+AQ19+AQ21+AQ22+AQ23+AQ24</f>
        <v/>
      </c>
      <c r="AR25" s="14">
        <f>AR14+AR15+AR16+AR17+AR19+AR21+AR22+AR23+AR24</f>
        <v/>
      </c>
      <c r="AS25" s="14">
        <f>AS14+AS15+AS16+AS17+AS19+AS21+AS22+AS23+AS24</f>
        <v/>
      </c>
      <c r="AT25" s="14">
        <f>AT14+AT15+AT16+AT17+AT19+AT21+AT22+AT23+AT24</f>
        <v/>
      </c>
      <c r="AU25" s="14">
        <f>AU14+AU15+AU16+AU17+AU19+AU21+AU22+AU23+AU24</f>
        <v/>
      </c>
      <c r="AV25" s="14">
        <f>AV14+AV15+AV16+AV17+AV19+AV21+AV22+AV23+AV24</f>
        <v/>
      </c>
      <c r="AW25" s="14">
        <f>AW14+AW15+AW16+AW17+AW19+AW21+AW22+AW23+AW24</f>
        <v/>
      </c>
      <c r="AX25" s="14">
        <f>AX14+AX15+AX16+AX17+AX19+AX21+AX22+AX23+AX24</f>
        <v/>
      </c>
      <c r="AY25" s="14">
        <f>AY14+AY15+AY16+AY17+AY19+AY21+AY22+AY23+AY24</f>
        <v/>
      </c>
      <c r="AZ25" s="14">
        <f>AZ14+AZ15+AZ16+AZ17+AZ19+AZ21+AZ22+AZ23+AZ24</f>
        <v/>
      </c>
      <c r="BA25" s="14">
        <f>BA14+BA15+BA16+BA17+BA19+BA21+BA22+BA23+BA24</f>
        <v/>
      </c>
      <c r="BB25" s="14">
        <f>BB14+BB15+BB16+BB17+BB19+BB21+BB22+BB23+BB24</f>
        <v/>
      </c>
      <c r="BC25" s="14">
        <f>BC14+BC15+BC16+BC17+BC19+BC21+BC22+BC23+BC24</f>
        <v/>
      </c>
      <c r="BD25" s="14">
        <f>BD14+BD15+BD16+BD17+BD19+BD21+BD22+BD23+BD24</f>
        <v/>
      </c>
      <c r="BE25" s="14">
        <f>BE14+BE15+BE16+BE17+BE19+BE21+BE22+BE23+BE24</f>
        <v/>
      </c>
      <c r="BF25" s="14">
        <f>BF14+BF15+BF16+BF17+BF19+BF21+BF22+BF23+BF24</f>
        <v/>
      </c>
      <c r="BG25" s="14">
        <f>BG14+BG15+BG16+BG17+BG19+BG21+BG22+BG23+BG24</f>
        <v/>
      </c>
      <c r="BH25" s="14">
        <f>BH14+BH15+BH16+BH17+BH19+BH21+BH22+BH23+BH24</f>
        <v/>
      </c>
      <c r="BI25" s="14">
        <f>BI14+BI15+BI16+BI17+BI19+BI21+BI22+BI23+BI24</f>
        <v/>
      </c>
      <c r="BJ25" s="13">
        <f>BJ14+BJ15+BJ16+BJ17+BJ19+BJ21+BJ22+BJ23+BJ24</f>
        <v/>
      </c>
    </row>
    <row r="26">
      <c r="A26" s="5" t="inlineStr">
        <is>
          <t>営業利益</t>
        </is>
      </c>
      <c r="B26" s="5" t="n"/>
      <c r="C26" s="14">
        <f>C13-C25</f>
        <v/>
      </c>
      <c r="D26" s="14">
        <f>D13-D25</f>
        <v/>
      </c>
      <c r="E26" s="14">
        <f>E13-E25</f>
        <v/>
      </c>
      <c r="F26" s="14">
        <f>F13-F25</f>
        <v/>
      </c>
      <c r="G26" s="14">
        <f>G13-G25</f>
        <v/>
      </c>
      <c r="H26" s="14">
        <f>H13-H25</f>
        <v/>
      </c>
      <c r="I26" s="14">
        <f>I13-I25</f>
        <v/>
      </c>
      <c r="J26" s="14">
        <f>J13-J25</f>
        <v/>
      </c>
      <c r="K26" s="14">
        <f>K13-K25</f>
        <v/>
      </c>
      <c r="L26" s="14">
        <f>L13-L25</f>
        <v/>
      </c>
      <c r="M26" s="14">
        <f>M13-M25</f>
        <v/>
      </c>
      <c r="N26" s="14">
        <f>N13-N25</f>
        <v/>
      </c>
      <c r="O26" s="14">
        <f>O13-O25</f>
        <v/>
      </c>
      <c r="P26" s="14">
        <f>P13-P25</f>
        <v/>
      </c>
      <c r="Q26" s="14">
        <f>Q13-Q25</f>
        <v/>
      </c>
      <c r="R26" s="14">
        <f>R13-R25</f>
        <v/>
      </c>
      <c r="S26" s="14">
        <f>S13-S25</f>
        <v/>
      </c>
      <c r="T26" s="14">
        <f>T13-T25</f>
        <v/>
      </c>
      <c r="U26" s="14">
        <f>U13-U25</f>
        <v/>
      </c>
      <c r="V26" s="14">
        <f>V13-V25</f>
        <v/>
      </c>
      <c r="W26" s="14">
        <f>W13-W25</f>
        <v/>
      </c>
      <c r="X26" s="14">
        <f>X13-X25</f>
        <v/>
      </c>
      <c r="Y26" s="14">
        <f>Y13-Y25</f>
        <v/>
      </c>
      <c r="Z26" s="14">
        <f>Z13-Z25</f>
        <v/>
      </c>
      <c r="AA26" s="14">
        <f>AA13-AA25</f>
        <v/>
      </c>
      <c r="AB26" s="14">
        <f>AB13-AB25</f>
        <v/>
      </c>
      <c r="AC26" s="14">
        <f>AC13-AC25</f>
        <v/>
      </c>
      <c r="AD26" s="14">
        <f>AD13-AD25</f>
        <v/>
      </c>
      <c r="AE26" s="14">
        <f>AE13-AE25</f>
        <v/>
      </c>
      <c r="AF26" s="14">
        <f>AF13-AF25</f>
        <v/>
      </c>
      <c r="AG26" s="14">
        <f>AG13-AG25</f>
        <v/>
      </c>
      <c r="AH26" s="14">
        <f>AH13-AH25</f>
        <v/>
      </c>
      <c r="AI26" s="14">
        <f>AI13-AI25</f>
        <v/>
      </c>
      <c r="AJ26" s="14">
        <f>AJ13-AJ25</f>
        <v/>
      </c>
      <c r="AK26" s="14">
        <f>AK13-AK25</f>
        <v/>
      </c>
      <c r="AL26" s="14">
        <f>AL13-AL25</f>
        <v/>
      </c>
      <c r="AM26" s="14">
        <f>AM13-AM25</f>
        <v/>
      </c>
      <c r="AN26" s="14">
        <f>AN13-AN25</f>
        <v/>
      </c>
      <c r="AO26" s="14">
        <f>AO13-AO25</f>
        <v/>
      </c>
      <c r="AP26" s="14">
        <f>AP13-AP25</f>
        <v/>
      </c>
      <c r="AQ26" s="14">
        <f>AQ13-AQ25</f>
        <v/>
      </c>
      <c r="AR26" s="14">
        <f>AR13-AR25</f>
        <v/>
      </c>
      <c r="AS26" s="14">
        <f>AS13-AS25</f>
        <v/>
      </c>
      <c r="AT26" s="14">
        <f>AT13-AT25</f>
        <v/>
      </c>
      <c r="AU26" s="14">
        <f>AU13-AU25</f>
        <v/>
      </c>
      <c r="AV26" s="14">
        <f>AV13-AV25</f>
        <v/>
      </c>
      <c r="AW26" s="14">
        <f>AW13-AW25</f>
        <v/>
      </c>
      <c r="AX26" s="14">
        <f>AX13-AX25</f>
        <v/>
      </c>
      <c r="AY26" s="14">
        <f>AY13-AY25</f>
        <v/>
      </c>
      <c r="AZ26" s="14">
        <f>AZ13-AZ25</f>
        <v/>
      </c>
      <c r="BA26" s="14">
        <f>BA13-BA25</f>
        <v/>
      </c>
      <c r="BB26" s="14">
        <f>BB13-BB25</f>
        <v/>
      </c>
      <c r="BC26" s="14">
        <f>BC13-BC25</f>
        <v/>
      </c>
      <c r="BD26" s="14">
        <f>BD13-BD25</f>
        <v/>
      </c>
      <c r="BE26" s="14">
        <f>BE13-BE25</f>
        <v/>
      </c>
      <c r="BF26" s="14">
        <f>BF13-BF25</f>
        <v/>
      </c>
      <c r="BG26" s="14">
        <f>BG13-BG25</f>
        <v/>
      </c>
      <c r="BH26" s="14">
        <f>BH13-BH25</f>
        <v/>
      </c>
      <c r="BI26" s="14">
        <f>BI13-BI25</f>
        <v/>
      </c>
      <c r="BJ26" s="13">
        <f>BJ13-BJ25</f>
        <v/>
      </c>
    </row>
    <row r="27">
      <c r="A27" s="5" t="inlineStr">
        <is>
          <t>累計損益(初期投資込)</t>
        </is>
      </c>
      <c r="B27" s="5" t="n"/>
      <c r="C27" s="14">
        <f>-前提条件!$C$19+C26</f>
        <v/>
      </c>
      <c r="D27" s="14">
        <f>C27+D26</f>
        <v/>
      </c>
      <c r="E27" s="14">
        <f>D27+E26</f>
        <v/>
      </c>
      <c r="F27" s="14">
        <f>E27+F26</f>
        <v/>
      </c>
      <c r="G27" s="14">
        <f>F27+G26</f>
        <v/>
      </c>
      <c r="H27" s="14">
        <f>G27+H26</f>
        <v/>
      </c>
      <c r="I27" s="14">
        <f>H27+I26</f>
        <v/>
      </c>
      <c r="J27" s="14">
        <f>I27+J26</f>
        <v/>
      </c>
      <c r="K27" s="14">
        <f>J27+K26</f>
        <v/>
      </c>
      <c r="L27" s="14">
        <f>K27+L26</f>
        <v/>
      </c>
      <c r="M27" s="14">
        <f>L27+M26</f>
        <v/>
      </c>
      <c r="N27" s="14">
        <f>M27+N26</f>
        <v/>
      </c>
      <c r="O27" s="14">
        <f>N27+O26</f>
        <v/>
      </c>
      <c r="P27" s="14">
        <f>O27+P26</f>
        <v/>
      </c>
      <c r="Q27" s="14">
        <f>P27+Q26</f>
        <v/>
      </c>
      <c r="R27" s="14">
        <f>Q27+R26</f>
        <v/>
      </c>
      <c r="S27" s="14">
        <f>R27+S26</f>
        <v/>
      </c>
      <c r="T27" s="14">
        <f>S27+T26</f>
        <v/>
      </c>
      <c r="U27" s="14">
        <f>T27+U26</f>
        <v/>
      </c>
      <c r="V27" s="14">
        <f>U27+V26</f>
        <v/>
      </c>
      <c r="W27" s="14">
        <f>V27+W26</f>
        <v/>
      </c>
      <c r="X27" s="14">
        <f>W27+X26</f>
        <v/>
      </c>
      <c r="Y27" s="14">
        <f>X27+Y26</f>
        <v/>
      </c>
      <c r="Z27" s="14">
        <f>Y27+Z26</f>
        <v/>
      </c>
      <c r="AA27" s="14">
        <f>Z27+AA26</f>
        <v/>
      </c>
      <c r="AB27" s="14">
        <f>AA27+AB26</f>
        <v/>
      </c>
      <c r="AC27" s="14">
        <f>AB27+AC26</f>
        <v/>
      </c>
      <c r="AD27" s="14">
        <f>AC27+AD26</f>
        <v/>
      </c>
      <c r="AE27" s="14">
        <f>AD27+AE26</f>
        <v/>
      </c>
      <c r="AF27" s="14">
        <f>AE27+AF26</f>
        <v/>
      </c>
      <c r="AG27" s="14">
        <f>AF27+AG26</f>
        <v/>
      </c>
      <c r="AH27" s="14">
        <f>AG27+AH26</f>
        <v/>
      </c>
      <c r="AI27" s="14">
        <f>AH27+AI26</f>
        <v/>
      </c>
      <c r="AJ27" s="14">
        <f>AI27+AJ26</f>
        <v/>
      </c>
      <c r="AK27" s="14">
        <f>AJ27+AK26</f>
        <v/>
      </c>
      <c r="AL27" s="14">
        <f>AK27+AL26</f>
        <v/>
      </c>
      <c r="AM27" s="14">
        <f>AL27+AM26</f>
        <v/>
      </c>
      <c r="AN27" s="14">
        <f>AM27+AN26</f>
        <v/>
      </c>
      <c r="AO27" s="14">
        <f>AN27+AO26</f>
        <v/>
      </c>
      <c r="AP27" s="14">
        <f>AO27+AP26</f>
        <v/>
      </c>
      <c r="AQ27" s="14">
        <f>AP27+AQ26</f>
        <v/>
      </c>
      <c r="AR27" s="14">
        <f>AQ27+AR26</f>
        <v/>
      </c>
      <c r="AS27" s="14">
        <f>AR27+AS26</f>
        <v/>
      </c>
      <c r="AT27" s="14">
        <f>AS27+AT26</f>
        <v/>
      </c>
      <c r="AU27" s="14">
        <f>AT27+AU26</f>
        <v/>
      </c>
      <c r="AV27" s="14">
        <f>AU27+AV26</f>
        <v/>
      </c>
      <c r="AW27" s="14">
        <f>AV27+AW26</f>
        <v/>
      </c>
      <c r="AX27" s="14">
        <f>AW27+AX26</f>
        <v/>
      </c>
      <c r="AY27" s="14">
        <f>AX27+AY26</f>
        <v/>
      </c>
      <c r="AZ27" s="14">
        <f>AY27+AZ26</f>
        <v/>
      </c>
      <c r="BA27" s="14">
        <f>AZ27+BA26</f>
        <v/>
      </c>
      <c r="BB27" s="14">
        <f>BA27+BB26</f>
        <v/>
      </c>
      <c r="BC27" s="14">
        <f>BB27+BC26</f>
        <v/>
      </c>
      <c r="BD27" s="14">
        <f>BC27+BD26</f>
        <v/>
      </c>
      <c r="BE27" s="14">
        <f>BD27+BE26</f>
        <v/>
      </c>
      <c r="BF27" s="14">
        <f>BE27+BF26</f>
        <v/>
      </c>
      <c r="BG27" s="14">
        <f>BF27+BG26</f>
        <v/>
      </c>
      <c r="BH27" s="14">
        <f>BG27+BH26</f>
        <v/>
      </c>
      <c r="BI27" s="14">
        <f>BH27+BI26</f>
        <v/>
      </c>
      <c r="BJ27" s="13">
        <f>BI27+BJ26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月次収支(標準シナリオ、単位:万円)</t>
        </is>
      </c>
    </row>
    <row r="3">
      <c r="A3" s="3" t="inlineStr">
        <is>
          <t>月</t>
        </is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  <c r="AB3" s="11" t="n">
        <v>26</v>
      </c>
      <c r="AC3" s="11" t="n">
        <v>27</v>
      </c>
      <c r="AD3" s="11" t="n">
        <v>28</v>
      </c>
      <c r="AE3" s="11" t="n">
        <v>29</v>
      </c>
      <c r="AF3" s="11" t="n">
        <v>30</v>
      </c>
      <c r="AG3" s="11" t="n">
        <v>31</v>
      </c>
      <c r="AH3" s="11" t="n">
        <v>32</v>
      </c>
      <c r="AI3" s="11" t="n">
        <v>33</v>
      </c>
      <c r="AJ3" s="11" t="n">
        <v>34</v>
      </c>
      <c r="AK3" s="11" t="n">
        <v>35</v>
      </c>
      <c r="AL3" s="11" t="n">
        <v>36</v>
      </c>
      <c r="AM3" s="11" t="n">
        <v>37</v>
      </c>
      <c r="AN3" s="11" t="n">
        <v>38</v>
      </c>
      <c r="AO3" s="11" t="n">
        <v>39</v>
      </c>
      <c r="AP3" s="11" t="n">
        <v>40</v>
      </c>
      <c r="AQ3" s="11" t="n">
        <v>41</v>
      </c>
      <c r="AR3" s="11" t="n">
        <v>42</v>
      </c>
      <c r="AS3" s="11" t="n">
        <v>43</v>
      </c>
      <c r="AT3" s="11" t="n">
        <v>44</v>
      </c>
      <c r="AU3" s="11" t="n">
        <v>45</v>
      </c>
      <c r="AV3" s="11" t="n">
        <v>46</v>
      </c>
      <c r="AW3" s="11" t="n">
        <v>47</v>
      </c>
      <c r="AX3" s="11" t="n">
        <v>48</v>
      </c>
      <c r="AY3" s="11" t="n">
        <v>49</v>
      </c>
      <c r="AZ3" s="11" t="n">
        <v>50</v>
      </c>
      <c r="BA3" s="11" t="n">
        <v>51</v>
      </c>
      <c r="BB3" s="11" t="n">
        <v>52</v>
      </c>
      <c r="BC3" s="11" t="n">
        <v>53</v>
      </c>
      <c r="BD3" s="11" t="n">
        <v>54</v>
      </c>
      <c r="BE3" s="11" t="n">
        <v>55</v>
      </c>
      <c r="BF3" s="11" t="n">
        <v>56</v>
      </c>
      <c r="BG3" s="11" t="n">
        <v>57</v>
      </c>
      <c r="BH3" s="11" t="n">
        <v>58</v>
      </c>
      <c r="BI3" s="11" t="n">
        <v>59</v>
      </c>
      <c r="BJ3" s="11" t="n">
        <v>60</v>
      </c>
    </row>
    <row r="4">
      <c r="A4" t="inlineStr">
        <is>
          <t>年</t>
        </is>
      </c>
      <c r="C4" s="12">
        <f>ROUNDUP(C3/12,0)</f>
        <v/>
      </c>
      <c r="D4" s="12">
        <f>ROUNDUP(D3/12,0)</f>
        <v/>
      </c>
      <c r="E4" s="12">
        <f>ROUNDUP(E3/12,0)</f>
        <v/>
      </c>
      <c r="F4" s="12">
        <f>ROUNDUP(F3/12,0)</f>
        <v/>
      </c>
      <c r="G4" s="12">
        <f>ROUNDUP(G3/12,0)</f>
        <v/>
      </c>
      <c r="H4" s="12">
        <f>ROUNDUP(H3/12,0)</f>
        <v/>
      </c>
      <c r="I4" s="12">
        <f>ROUNDUP(I3/12,0)</f>
        <v/>
      </c>
      <c r="J4" s="12">
        <f>ROUNDUP(J3/12,0)</f>
        <v/>
      </c>
      <c r="K4" s="12">
        <f>ROUNDUP(K3/12,0)</f>
        <v/>
      </c>
      <c r="L4" s="12">
        <f>ROUNDUP(L3/12,0)</f>
        <v/>
      </c>
      <c r="M4" s="12">
        <f>ROUNDUP(M3/12,0)</f>
        <v/>
      </c>
      <c r="N4" s="12">
        <f>ROUNDUP(N3/12,0)</f>
        <v/>
      </c>
      <c r="O4" s="12">
        <f>ROUNDUP(O3/12,0)</f>
        <v/>
      </c>
      <c r="P4" s="12">
        <f>ROUNDUP(P3/12,0)</f>
        <v/>
      </c>
      <c r="Q4" s="12">
        <f>ROUNDUP(Q3/12,0)</f>
        <v/>
      </c>
      <c r="R4" s="12">
        <f>ROUNDUP(R3/12,0)</f>
        <v/>
      </c>
      <c r="S4" s="12">
        <f>ROUNDUP(S3/12,0)</f>
        <v/>
      </c>
      <c r="T4" s="12">
        <f>ROUNDUP(T3/12,0)</f>
        <v/>
      </c>
      <c r="U4" s="12">
        <f>ROUNDUP(U3/12,0)</f>
        <v/>
      </c>
      <c r="V4" s="12">
        <f>ROUNDUP(V3/12,0)</f>
        <v/>
      </c>
      <c r="W4" s="12">
        <f>ROUNDUP(W3/12,0)</f>
        <v/>
      </c>
      <c r="X4" s="12">
        <f>ROUNDUP(X3/12,0)</f>
        <v/>
      </c>
      <c r="Y4" s="12">
        <f>ROUNDUP(Y3/12,0)</f>
        <v/>
      </c>
      <c r="Z4" s="12">
        <f>ROUNDUP(Z3/12,0)</f>
        <v/>
      </c>
      <c r="AA4" s="12">
        <f>ROUNDUP(AA3/12,0)</f>
        <v/>
      </c>
      <c r="AB4" s="12">
        <f>ROUNDUP(AB3/12,0)</f>
        <v/>
      </c>
      <c r="AC4" s="12">
        <f>ROUNDUP(AC3/12,0)</f>
        <v/>
      </c>
      <c r="AD4" s="12">
        <f>ROUNDUP(AD3/12,0)</f>
        <v/>
      </c>
      <c r="AE4" s="12">
        <f>ROUNDUP(AE3/12,0)</f>
        <v/>
      </c>
      <c r="AF4" s="12">
        <f>ROUNDUP(AF3/12,0)</f>
        <v/>
      </c>
      <c r="AG4" s="12">
        <f>ROUNDUP(AG3/12,0)</f>
        <v/>
      </c>
      <c r="AH4" s="12">
        <f>ROUNDUP(AH3/12,0)</f>
        <v/>
      </c>
      <c r="AI4" s="12">
        <f>ROUNDUP(AI3/12,0)</f>
        <v/>
      </c>
      <c r="AJ4" s="12">
        <f>ROUNDUP(AJ3/12,0)</f>
        <v/>
      </c>
      <c r="AK4" s="12">
        <f>ROUNDUP(AK3/12,0)</f>
        <v/>
      </c>
      <c r="AL4" s="12">
        <f>ROUNDUP(AL3/12,0)</f>
        <v/>
      </c>
      <c r="AM4" s="12">
        <f>ROUNDUP(AM3/12,0)</f>
        <v/>
      </c>
      <c r="AN4" s="12">
        <f>ROUNDUP(AN3/12,0)</f>
        <v/>
      </c>
      <c r="AO4" s="12">
        <f>ROUNDUP(AO3/12,0)</f>
        <v/>
      </c>
      <c r="AP4" s="12">
        <f>ROUNDUP(AP3/12,0)</f>
        <v/>
      </c>
      <c r="AQ4" s="12">
        <f>ROUNDUP(AQ3/12,0)</f>
        <v/>
      </c>
      <c r="AR4" s="12">
        <f>ROUNDUP(AR3/12,0)</f>
        <v/>
      </c>
      <c r="AS4" s="12">
        <f>ROUNDUP(AS3/12,0)</f>
        <v/>
      </c>
      <c r="AT4" s="12">
        <f>ROUNDUP(AT3/12,0)</f>
        <v/>
      </c>
      <c r="AU4" s="12">
        <f>ROUNDUP(AU3/12,0)</f>
        <v/>
      </c>
      <c r="AV4" s="12">
        <f>ROUNDUP(AV3/12,0)</f>
        <v/>
      </c>
      <c r="AW4" s="12">
        <f>ROUNDUP(AW3/12,0)</f>
        <v/>
      </c>
      <c r="AX4" s="12">
        <f>ROUNDUP(AX3/12,0)</f>
        <v/>
      </c>
      <c r="AY4" s="12">
        <f>ROUNDUP(AY3/12,0)</f>
        <v/>
      </c>
      <c r="AZ4" s="12">
        <f>ROUNDUP(AZ3/12,0)</f>
        <v/>
      </c>
      <c r="BA4" s="12">
        <f>ROUNDUP(BA3/12,0)</f>
        <v/>
      </c>
      <c r="BB4" s="12">
        <f>ROUNDUP(BB3/12,0)</f>
        <v/>
      </c>
      <c r="BC4" s="12">
        <f>ROUNDUP(BC3/12,0)</f>
        <v/>
      </c>
      <c r="BD4" s="12">
        <f>ROUNDUP(BD3/12,0)</f>
        <v/>
      </c>
      <c r="BE4" s="12">
        <f>ROUNDUP(BE3/12,0)</f>
        <v/>
      </c>
      <c r="BF4" s="12">
        <f>ROUNDUP(BF3/12,0)</f>
        <v/>
      </c>
      <c r="BG4" s="12">
        <f>ROUNDUP(BG3/12,0)</f>
        <v/>
      </c>
      <c r="BH4" s="12">
        <f>ROUNDUP(BH3/12,0)</f>
        <v/>
      </c>
      <c r="BI4" s="12">
        <f>ROUNDUP(BI3/12,0)</f>
        <v/>
      </c>
      <c r="BJ4" s="12">
        <f>ROUNDUP(BJ3/12,0)</f>
        <v/>
      </c>
    </row>
    <row r="5">
      <c r="A5" t="inlineStr">
        <is>
          <t>新規契約店(トライアル開始)</t>
        </is>
      </c>
      <c r="C5" s="13">
        <f>IF(C3&lt;=6,前提条件!$D$4,IF(C3&lt;=12,前提条件!$D$5,IF(C3&lt;=24,前提条件!$D$6,前提条件!$D$7)))</f>
        <v/>
      </c>
      <c r="D5" s="13">
        <f>IF(D3&lt;=6,前提条件!$D$4,IF(D3&lt;=12,前提条件!$D$5,IF(D3&lt;=24,前提条件!$D$6,前提条件!$D$7)))</f>
        <v/>
      </c>
      <c r="E5" s="13">
        <f>IF(E3&lt;=6,前提条件!$D$4,IF(E3&lt;=12,前提条件!$D$5,IF(E3&lt;=24,前提条件!$D$6,前提条件!$D$7)))</f>
        <v/>
      </c>
      <c r="F5" s="13">
        <f>IF(F3&lt;=6,前提条件!$D$4,IF(F3&lt;=12,前提条件!$D$5,IF(F3&lt;=24,前提条件!$D$6,前提条件!$D$7)))</f>
        <v/>
      </c>
      <c r="G5" s="13">
        <f>IF(G3&lt;=6,前提条件!$D$4,IF(G3&lt;=12,前提条件!$D$5,IF(G3&lt;=24,前提条件!$D$6,前提条件!$D$7)))</f>
        <v/>
      </c>
      <c r="H5" s="13">
        <f>IF(H3&lt;=6,前提条件!$D$4,IF(H3&lt;=12,前提条件!$D$5,IF(H3&lt;=24,前提条件!$D$6,前提条件!$D$7)))</f>
        <v/>
      </c>
      <c r="I5" s="13">
        <f>IF(I3&lt;=6,前提条件!$D$4,IF(I3&lt;=12,前提条件!$D$5,IF(I3&lt;=24,前提条件!$D$6,前提条件!$D$7)))</f>
        <v/>
      </c>
      <c r="J5" s="13">
        <f>IF(J3&lt;=6,前提条件!$D$4,IF(J3&lt;=12,前提条件!$D$5,IF(J3&lt;=24,前提条件!$D$6,前提条件!$D$7)))</f>
        <v/>
      </c>
      <c r="K5" s="13">
        <f>IF(K3&lt;=6,前提条件!$D$4,IF(K3&lt;=12,前提条件!$D$5,IF(K3&lt;=24,前提条件!$D$6,前提条件!$D$7)))</f>
        <v/>
      </c>
      <c r="L5" s="13">
        <f>IF(L3&lt;=6,前提条件!$D$4,IF(L3&lt;=12,前提条件!$D$5,IF(L3&lt;=24,前提条件!$D$6,前提条件!$D$7)))</f>
        <v/>
      </c>
      <c r="M5" s="13">
        <f>IF(M3&lt;=6,前提条件!$D$4,IF(M3&lt;=12,前提条件!$D$5,IF(M3&lt;=24,前提条件!$D$6,前提条件!$D$7)))</f>
        <v/>
      </c>
      <c r="N5" s="13">
        <f>IF(N3&lt;=6,前提条件!$D$4,IF(N3&lt;=12,前提条件!$D$5,IF(N3&lt;=24,前提条件!$D$6,前提条件!$D$7)))</f>
        <v/>
      </c>
      <c r="O5" s="13">
        <f>IF(O3&lt;=6,前提条件!$D$4,IF(O3&lt;=12,前提条件!$D$5,IF(O3&lt;=24,前提条件!$D$6,前提条件!$D$7)))</f>
        <v/>
      </c>
      <c r="P5" s="13">
        <f>IF(P3&lt;=6,前提条件!$D$4,IF(P3&lt;=12,前提条件!$D$5,IF(P3&lt;=24,前提条件!$D$6,前提条件!$D$7)))</f>
        <v/>
      </c>
      <c r="Q5" s="13">
        <f>IF(Q3&lt;=6,前提条件!$D$4,IF(Q3&lt;=12,前提条件!$D$5,IF(Q3&lt;=24,前提条件!$D$6,前提条件!$D$7)))</f>
        <v/>
      </c>
      <c r="R5" s="13">
        <f>IF(R3&lt;=6,前提条件!$D$4,IF(R3&lt;=12,前提条件!$D$5,IF(R3&lt;=24,前提条件!$D$6,前提条件!$D$7)))</f>
        <v/>
      </c>
      <c r="S5" s="13">
        <f>IF(S3&lt;=6,前提条件!$D$4,IF(S3&lt;=12,前提条件!$D$5,IF(S3&lt;=24,前提条件!$D$6,前提条件!$D$7)))</f>
        <v/>
      </c>
      <c r="T5" s="13">
        <f>IF(T3&lt;=6,前提条件!$D$4,IF(T3&lt;=12,前提条件!$D$5,IF(T3&lt;=24,前提条件!$D$6,前提条件!$D$7)))</f>
        <v/>
      </c>
      <c r="U5" s="13">
        <f>IF(U3&lt;=6,前提条件!$D$4,IF(U3&lt;=12,前提条件!$D$5,IF(U3&lt;=24,前提条件!$D$6,前提条件!$D$7)))</f>
        <v/>
      </c>
      <c r="V5" s="13">
        <f>IF(V3&lt;=6,前提条件!$D$4,IF(V3&lt;=12,前提条件!$D$5,IF(V3&lt;=24,前提条件!$D$6,前提条件!$D$7)))</f>
        <v/>
      </c>
      <c r="W5" s="13">
        <f>IF(W3&lt;=6,前提条件!$D$4,IF(W3&lt;=12,前提条件!$D$5,IF(W3&lt;=24,前提条件!$D$6,前提条件!$D$7)))</f>
        <v/>
      </c>
      <c r="X5" s="13">
        <f>IF(X3&lt;=6,前提条件!$D$4,IF(X3&lt;=12,前提条件!$D$5,IF(X3&lt;=24,前提条件!$D$6,前提条件!$D$7)))</f>
        <v/>
      </c>
      <c r="Y5" s="13">
        <f>IF(Y3&lt;=6,前提条件!$D$4,IF(Y3&lt;=12,前提条件!$D$5,IF(Y3&lt;=24,前提条件!$D$6,前提条件!$D$7)))</f>
        <v/>
      </c>
      <c r="Z5" s="13">
        <f>IF(Z3&lt;=6,前提条件!$D$4,IF(Z3&lt;=12,前提条件!$D$5,IF(Z3&lt;=24,前提条件!$D$6,前提条件!$D$7)))</f>
        <v/>
      </c>
      <c r="AA5" s="13">
        <f>IF(AA3&lt;=6,前提条件!$D$4,IF(AA3&lt;=12,前提条件!$D$5,IF(AA3&lt;=24,前提条件!$D$6,前提条件!$D$7)))</f>
        <v/>
      </c>
      <c r="AB5" s="13">
        <f>IF(AB3&lt;=6,前提条件!$D$4,IF(AB3&lt;=12,前提条件!$D$5,IF(AB3&lt;=24,前提条件!$D$6,前提条件!$D$7)))</f>
        <v/>
      </c>
      <c r="AC5" s="13">
        <f>IF(AC3&lt;=6,前提条件!$D$4,IF(AC3&lt;=12,前提条件!$D$5,IF(AC3&lt;=24,前提条件!$D$6,前提条件!$D$7)))</f>
        <v/>
      </c>
      <c r="AD5" s="13">
        <f>IF(AD3&lt;=6,前提条件!$D$4,IF(AD3&lt;=12,前提条件!$D$5,IF(AD3&lt;=24,前提条件!$D$6,前提条件!$D$7)))</f>
        <v/>
      </c>
      <c r="AE5" s="13">
        <f>IF(AE3&lt;=6,前提条件!$D$4,IF(AE3&lt;=12,前提条件!$D$5,IF(AE3&lt;=24,前提条件!$D$6,前提条件!$D$7)))</f>
        <v/>
      </c>
      <c r="AF5" s="13">
        <f>IF(AF3&lt;=6,前提条件!$D$4,IF(AF3&lt;=12,前提条件!$D$5,IF(AF3&lt;=24,前提条件!$D$6,前提条件!$D$7)))</f>
        <v/>
      </c>
      <c r="AG5" s="13">
        <f>IF(AG3&lt;=6,前提条件!$D$4,IF(AG3&lt;=12,前提条件!$D$5,IF(AG3&lt;=24,前提条件!$D$6,前提条件!$D$7)))</f>
        <v/>
      </c>
      <c r="AH5" s="13">
        <f>IF(AH3&lt;=6,前提条件!$D$4,IF(AH3&lt;=12,前提条件!$D$5,IF(AH3&lt;=24,前提条件!$D$6,前提条件!$D$7)))</f>
        <v/>
      </c>
      <c r="AI5" s="13">
        <f>IF(AI3&lt;=6,前提条件!$D$4,IF(AI3&lt;=12,前提条件!$D$5,IF(AI3&lt;=24,前提条件!$D$6,前提条件!$D$7)))</f>
        <v/>
      </c>
      <c r="AJ5" s="13">
        <f>IF(AJ3&lt;=6,前提条件!$D$4,IF(AJ3&lt;=12,前提条件!$D$5,IF(AJ3&lt;=24,前提条件!$D$6,前提条件!$D$7)))</f>
        <v/>
      </c>
      <c r="AK5" s="13">
        <f>IF(AK3&lt;=6,前提条件!$D$4,IF(AK3&lt;=12,前提条件!$D$5,IF(AK3&lt;=24,前提条件!$D$6,前提条件!$D$7)))</f>
        <v/>
      </c>
      <c r="AL5" s="13">
        <f>IF(AL3&lt;=6,前提条件!$D$4,IF(AL3&lt;=12,前提条件!$D$5,IF(AL3&lt;=24,前提条件!$D$6,前提条件!$D$7)))</f>
        <v/>
      </c>
      <c r="AM5" s="13">
        <f>IF(AM3&lt;=6,前提条件!$D$4,IF(AM3&lt;=12,前提条件!$D$5,IF(AM3&lt;=24,前提条件!$D$6,前提条件!$D$7)))</f>
        <v/>
      </c>
      <c r="AN5" s="13">
        <f>IF(AN3&lt;=6,前提条件!$D$4,IF(AN3&lt;=12,前提条件!$D$5,IF(AN3&lt;=24,前提条件!$D$6,前提条件!$D$7)))</f>
        <v/>
      </c>
      <c r="AO5" s="13">
        <f>IF(AO3&lt;=6,前提条件!$D$4,IF(AO3&lt;=12,前提条件!$D$5,IF(AO3&lt;=24,前提条件!$D$6,前提条件!$D$7)))</f>
        <v/>
      </c>
      <c r="AP5" s="13">
        <f>IF(AP3&lt;=6,前提条件!$D$4,IF(AP3&lt;=12,前提条件!$D$5,IF(AP3&lt;=24,前提条件!$D$6,前提条件!$D$7)))</f>
        <v/>
      </c>
      <c r="AQ5" s="13">
        <f>IF(AQ3&lt;=6,前提条件!$D$4,IF(AQ3&lt;=12,前提条件!$D$5,IF(AQ3&lt;=24,前提条件!$D$6,前提条件!$D$7)))</f>
        <v/>
      </c>
      <c r="AR5" s="13">
        <f>IF(AR3&lt;=6,前提条件!$D$4,IF(AR3&lt;=12,前提条件!$D$5,IF(AR3&lt;=24,前提条件!$D$6,前提条件!$D$7)))</f>
        <v/>
      </c>
      <c r="AS5" s="13">
        <f>IF(AS3&lt;=6,前提条件!$D$4,IF(AS3&lt;=12,前提条件!$D$5,IF(AS3&lt;=24,前提条件!$D$6,前提条件!$D$7)))</f>
        <v/>
      </c>
      <c r="AT5" s="13">
        <f>IF(AT3&lt;=6,前提条件!$D$4,IF(AT3&lt;=12,前提条件!$D$5,IF(AT3&lt;=24,前提条件!$D$6,前提条件!$D$7)))</f>
        <v/>
      </c>
      <c r="AU5" s="13">
        <f>IF(AU3&lt;=6,前提条件!$D$4,IF(AU3&lt;=12,前提条件!$D$5,IF(AU3&lt;=24,前提条件!$D$6,前提条件!$D$7)))</f>
        <v/>
      </c>
      <c r="AV5" s="13">
        <f>IF(AV3&lt;=6,前提条件!$D$4,IF(AV3&lt;=12,前提条件!$D$5,IF(AV3&lt;=24,前提条件!$D$6,前提条件!$D$7)))</f>
        <v/>
      </c>
      <c r="AW5" s="13">
        <f>IF(AW3&lt;=6,前提条件!$D$4,IF(AW3&lt;=12,前提条件!$D$5,IF(AW3&lt;=24,前提条件!$D$6,前提条件!$D$7)))</f>
        <v/>
      </c>
      <c r="AX5" s="13">
        <f>IF(AX3&lt;=6,前提条件!$D$4,IF(AX3&lt;=12,前提条件!$D$5,IF(AX3&lt;=24,前提条件!$D$6,前提条件!$D$7)))</f>
        <v/>
      </c>
      <c r="AY5" s="13">
        <f>IF(AY3&lt;=6,前提条件!$D$4,IF(AY3&lt;=12,前提条件!$D$5,IF(AY3&lt;=24,前提条件!$D$6,前提条件!$D$7)))</f>
        <v/>
      </c>
      <c r="AZ5" s="13">
        <f>IF(AZ3&lt;=6,前提条件!$D$4,IF(AZ3&lt;=12,前提条件!$D$5,IF(AZ3&lt;=24,前提条件!$D$6,前提条件!$D$7)))</f>
        <v/>
      </c>
      <c r="BA5" s="13">
        <f>IF(BA3&lt;=6,前提条件!$D$4,IF(BA3&lt;=12,前提条件!$D$5,IF(BA3&lt;=24,前提条件!$D$6,前提条件!$D$7)))</f>
        <v/>
      </c>
      <c r="BB5" s="13">
        <f>IF(BB3&lt;=6,前提条件!$D$4,IF(BB3&lt;=12,前提条件!$D$5,IF(BB3&lt;=24,前提条件!$D$6,前提条件!$D$7)))</f>
        <v/>
      </c>
      <c r="BC5" s="13">
        <f>IF(BC3&lt;=6,前提条件!$D$4,IF(BC3&lt;=12,前提条件!$D$5,IF(BC3&lt;=24,前提条件!$D$6,前提条件!$D$7)))</f>
        <v/>
      </c>
      <c r="BD5" s="13">
        <f>IF(BD3&lt;=6,前提条件!$D$4,IF(BD3&lt;=12,前提条件!$D$5,IF(BD3&lt;=24,前提条件!$D$6,前提条件!$D$7)))</f>
        <v/>
      </c>
      <c r="BE5" s="13">
        <f>IF(BE3&lt;=6,前提条件!$D$4,IF(BE3&lt;=12,前提条件!$D$5,IF(BE3&lt;=24,前提条件!$D$6,前提条件!$D$7)))</f>
        <v/>
      </c>
      <c r="BF5" s="13">
        <f>IF(BF3&lt;=6,前提条件!$D$4,IF(BF3&lt;=12,前提条件!$D$5,IF(BF3&lt;=24,前提条件!$D$6,前提条件!$D$7)))</f>
        <v/>
      </c>
      <c r="BG5" s="13">
        <f>IF(BG3&lt;=6,前提条件!$D$4,IF(BG3&lt;=12,前提条件!$D$5,IF(BG3&lt;=24,前提条件!$D$6,前提条件!$D$7)))</f>
        <v/>
      </c>
      <c r="BH5" s="13">
        <f>IF(BH3&lt;=6,前提条件!$D$4,IF(BH3&lt;=12,前提条件!$D$5,IF(BH3&lt;=24,前提条件!$D$6,前提条件!$D$7)))</f>
        <v/>
      </c>
      <c r="BI5" s="13">
        <f>IF(BI3&lt;=6,前提条件!$D$4,IF(BI3&lt;=12,前提条件!$D$5,IF(BI3&lt;=24,前提条件!$D$6,前提条件!$D$7)))</f>
        <v/>
      </c>
      <c r="BJ5" s="13">
        <f>IF(BJ3&lt;=6,前提条件!$D$4,IF(BJ3&lt;=12,前提条件!$D$5,IF(BJ3&lt;=24,前提条件!$D$6,前提条件!$D$7)))</f>
        <v/>
      </c>
    </row>
    <row r="6">
      <c r="A6" t="inlineStr">
        <is>
          <t>有料化(新規)</t>
        </is>
      </c>
      <c r="C6" s="13" t="n">
        <v>0</v>
      </c>
      <c r="D6" s="13" t="n">
        <v>0</v>
      </c>
      <c r="E6" s="13" t="n">
        <v>0</v>
      </c>
      <c r="F6" s="13">
        <f>C5</f>
        <v/>
      </c>
      <c r="G6" s="13">
        <f>D5</f>
        <v/>
      </c>
      <c r="H6" s="13">
        <f>E5</f>
        <v/>
      </c>
      <c r="I6" s="13">
        <f>F5</f>
        <v/>
      </c>
      <c r="J6" s="13">
        <f>G5</f>
        <v/>
      </c>
      <c r="K6" s="13">
        <f>H5</f>
        <v/>
      </c>
      <c r="L6" s="13">
        <f>I5</f>
        <v/>
      </c>
      <c r="M6" s="13">
        <f>J5</f>
        <v/>
      </c>
      <c r="N6" s="13">
        <f>K5</f>
        <v/>
      </c>
      <c r="O6" s="13">
        <f>L5</f>
        <v/>
      </c>
      <c r="P6" s="13">
        <f>M5</f>
        <v/>
      </c>
      <c r="Q6" s="13">
        <f>N5</f>
        <v/>
      </c>
      <c r="R6" s="13">
        <f>O5</f>
        <v/>
      </c>
      <c r="S6" s="13">
        <f>P5</f>
        <v/>
      </c>
      <c r="T6" s="13">
        <f>Q5</f>
        <v/>
      </c>
      <c r="U6" s="13">
        <f>R5</f>
        <v/>
      </c>
      <c r="V6" s="13">
        <f>S5</f>
        <v/>
      </c>
      <c r="W6" s="13">
        <f>T5</f>
        <v/>
      </c>
      <c r="X6" s="13">
        <f>U5</f>
        <v/>
      </c>
      <c r="Y6" s="13">
        <f>V5</f>
        <v/>
      </c>
      <c r="Z6" s="13">
        <f>W5</f>
        <v/>
      </c>
      <c r="AA6" s="13">
        <f>X5</f>
        <v/>
      </c>
      <c r="AB6" s="13">
        <f>Y5</f>
        <v/>
      </c>
      <c r="AC6" s="13">
        <f>Z5</f>
        <v/>
      </c>
      <c r="AD6" s="13">
        <f>AA5</f>
        <v/>
      </c>
      <c r="AE6" s="13">
        <f>AB5</f>
        <v/>
      </c>
      <c r="AF6" s="13">
        <f>AC5</f>
        <v/>
      </c>
      <c r="AG6" s="13">
        <f>AD5</f>
        <v/>
      </c>
      <c r="AH6" s="13">
        <f>AE5</f>
        <v/>
      </c>
      <c r="AI6" s="13">
        <f>AF5</f>
        <v/>
      </c>
      <c r="AJ6" s="13">
        <f>AG5</f>
        <v/>
      </c>
      <c r="AK6" s="13">
        <f>AH5</f>
        <v/>
      </c>
      <c r="AL6" s="13">
        <f>AI5</f>
        <v/>
      </c>
      <c r="AM6" s="13">
        <f>AJ5</f>
        <v/>
      </c>
      <c r="AN6" s="13">
        <f>AK5</f>
        <v/>
      </c>
      <c r="AO6" s="13">
        <f>AL5</f>
        <v/>
      </c>
      <c r="AP6" s="13">
        <f>AM5</f>
        <v/>
      </c>
      <c r="AQ6" s="13">
        <f>AN5</f>
        <v/>
      </c>
      <c r="AR6" s="13">
        <f>AO5</f>
        <v/>
      </c>
      <c r="AS6" s="13">
        <f>AP5</f>
        <v/>
      </c>
      <c r="AT6" s="13">
        <f>AQ5</f>
        <v/>
      </c>
      <c r="AU6" s="13">
        <f>AR5</f>
        <v/>
      </c>
      <c r="AV6" s="13">
        <f>AS5</f>
        <v/>
      </c>
      <c r="AW6" s="13">
        <f>AT5</f>
        <v/>
      </c>
      <c r="AX6" s="13">
        <f>AU5</f>
        <v/>
      </c>
      <c r="AY6" s="13">
        <f>AV5</f>
        <v/>
      </c>
      <c r="AZ6" s="13">
        <f>AW5</f>
        <v/>
      </c>
      <c r="BA6" s="13">
        <f>AX5</f>
        <v/>
      </c>
      <c r="BB6" s="13">
        <f>AY5</f>
        <v/>
      </c>
      <c r="BC6" s="13">
        <f>AZ5</f>
        <v/>
      </c>
      <c r="BD6" s="13">
        <f>BA5</f>
        <v/>
      </c>
      <c r="BE6" s="13">
        <f>BB5</f>
        <v/>
      </c>
      <c r="BF6" s="13">
        <f>BC5</f>
        <v/>
      </c>
      <c r="BG6" s="13">
        <f>BD5</f>
        <v/>
      </c>
      <c r="BH6" s="13">
        <f>BE5</f>
        <v/>
      </c>
      <c r="BI6" s="13">
        <f>BF5</f>
        <v/>
      </c>
      <c r="BJ6" s="13">
        <f>BG5</f>
        <v/>
      </c>
    </row>
    <row r="7">
      <c r="A7" t="inlineStr">
        <is>
          <t>解約</t>
        </is>
      </c>
      <c r="C7" s="13" t="n">
        <v>0</v>
      </c>
      <c r="D7" s="13">
        <f>C8*前提条件!$D$8</f>
        <v/>
      </c>
      <c r="E7" s="13">
        <f>D8*前提条件!$D$8</f>
        <v/>
      </c>
      <c r="F7" s="13">
        <f>E8*前提条件!$D$8</f>
        <v/>
      </c>
      <c r="G7" s="13">
        <f>F8*前提条件!$D$8</f>
        <v/>
      </c>
      <c r="H7" s="13">
        <f>G8*前提条件!$D$8</f>
        <v/>
      </c>
      <c r="I7" s="13">
        <f>H8*前提条件!$D$8</f>
        <v/>
      </c>
      <c r="J7" s="13">
        <f>I8*前提条件!$D$8</f>
        <v/>
      </c>
      <c r="K7" s="13">
        <f>J8*前提条件!$D$8</f>
        <v/>
      </c>
      <c r="L7" s="13">
        <f>K8*前提条件!$D$8</f>
        <v/>
      </c>
      <c r="M7" s="13">
        <f>L8*前提条件!$D$8</f>
        <v/>
      </c>
      <c r="N7" s="13">
        <f>M8*前提条件!$D$8</f>
        <v/>
      </c>
      <c r="O7" s="13">
        <f>N8*前提条件!$D$8</f>
        <v/>
      </c>
      <c r="P7" s="13">
        <f>O8*前提条件!$D$8</f>
        <v/>
      </c>
      <c r="Q7" s="13">
        <f>P8*前提条件!$D$8</f>
        <v/>
      </c>
      <c r="R7" s="13">
        <f>Q8*前提条件!$D$8</f>
        <v/>
      </c>
      <c r="S7" s="13">
        <f>R8*前提条件!$D$8</f>
        <v/>
      </c>
      <c r="T7" s="13">
        <f>S8*前提条件!$D$8</f>
        <v/>
      </c>
      <c r="U7" s="13">
        <f>T8*前提条件!$D$8</f>
        <v/>
      </c>
      <c r="V7" s="13">
        <f>U8*前提条件!$D$8</f>
        <v/>
      </c>
      <c r="W7" s="13">
        <f>V8*前提条件!$D$8</f>
        <v/>
      </c>
      <c r="X7" s="13">
        <f>W8*前提条件!$D$8</f>
        <v/>
      </c>
      <c r="Y7" s="13">
        <f>X8*前提条件!$D$8</f>
        <v/>
      </c>
      <c r="Z7" s="13">
        <f>Y8*前提条件!$D$8</f>
        <v/>
      </c>
      <c r="AA7" s="13">
        <f>Z8*前提条件!$D$8</f>
        <v/>
      </c>
      <c r="AB7" s="13">
        <f>AA8*前提条件!$D$8</f>
        <v/>
      </c>
      <c r="AC7" s="13">
        <f>AB8*前提条件!$D$8</f>
        <v/>
      </c>
      <c r="AD7" s="13">
        <f>AC8*前提条件!$D$8</f>
        <v/>
      </c>
      <c r="AE7" s="13">
        <f>AD8*前提条件!$D$8</f>
        <v/>
      </c>
      <c r="AF7" s="13">
        <f>AE8*前提条件!$D$8</f>
        <v/>
      </c>
      <c r="AG7" s="13">
        <f>AF8*前提条件!$D$8</f>
        <v/>
      </c>
      <c r="AH7" s="13">
        <f>AG8*前提条件!$D$8</f>
        <v/>
      </c>
      <c r="AI7" s="13">
        <f>AH8*前提条件!$D$8</f>
        <v/>
      </c>
      <c r="AJ7" s="13">
        <f>AI8*前提条件!$D$8</f>
        <v/>
      </c>
      <c r="AK7" s="13">
        <f>AJ8*前提条件!$D$8</f>
        <v/>
      </c>
      <c r="AL7" s="13">
        <f>AK8*前提条件!$D$8</f>
        <v/>
      </c>
      <c r="AM7" s="13">
        <f>AL8*前提条件!$D$8</f>
        <v/>
      </c>
      <c r="AN7" s="13">
        <f>AM8*前提条件!$D$8</f>
        <v/>
      </c>
      <c r="AO7" s="13">
        <f>AN8*前提条件!$D$8</f>
        <v/>
      </c>
      <c r="AP7" s="13">
        <f>AO8*前提条件!$D$8</f>
        <v/>
      </c>
      <c r="AQ7" s="13">
        <f>AP8*前提条件!$D$8</f>
        <v/>
      </c>
      <c r="AR7" s="13">
        <f>AQ8*前提条件!$D$8</f>
        <v/>
      </c>
      <c r="AS7" s="13">
        <f>AR8*前提条件!$D$8</f>
        <v/>
      </c>
      <c r="AT7" s="13">
        <f>AS8*前提条件!$D$8</f>
        <v/>
      </c>
      <c r="AU7" s="13">
        <f>AT8*前提条件!$D$8</f>
        <v/>
      </c>
      <c r="AV7" s="13">
        <f>AU8*前提条件!$D$8</f>
        <v/>
      </c>
      <c r="AW7" s="13">
        <f>AV8*前提条件!$D$8</f>
        <v/>
      </c>
      <c r="AX7" s="13">
        <f>AW8*前提条件!$D$8</f>
        <v/>
      </c>
      <c r="AY7" s="13">
        <f>AX8*前提条件!$D$8</f>
        <v/>
      </c>
      <c r="AZ7" s="13">
        <f>AY8*前提条件!$D$8</f>
        <v/>
      </c>
      <c r="BA7" s="13">
        <f>AZ8*前提条件!$D$8</f>
        <v/>
      </c>
      <c r="BB7" s="13">
        <f>BA8*前提条件!$D$8</f>
        <v/>
      </c>
      <c r="BC7" s="13">
        <f>BB8*前提条件!$D$8</f>
        <v/>
      </c>
      <c r="BD7" s="13">
        <f>BC8*前提条件!$D$8</f>
        <v/>
      </c>
      <c r="BE7" s="13">
        <f>BD8*前提条件!$D$8</f>
        <v/>
      </c>
      <c r="BF7" s="13">
        <f>BE8*前提条件!$D$8</f>
        <v/>
      </c>
      <c r="BG7" s="13">
        <f>BF8*前提条件!$D$8</f>
        <v/>
      </c>
      <c r="BH7" s="13">
        <f>BG8*前提条件!$D$8</f>
        <v/>
      </c>
      <c r="BI7" s="13">
        <f>BH8*前提条件!$D$8</f>
        <v/>
      </c>
      <c r="BJ7" s="13">
        <f>BI8*前提条件!$D$8</f>
        <v/>
      </c>
    </row>
    <row r="8">
      <c r="A8" t="inlineStr">
        <is>
          <t>有料店舗数</t>
        </is>
      </c>
      <c r="C8" s="13">
        <f>C6-C7</f>
        <v/>
      </c>
      <c r="D8" s="13">
        <f>C8+D6-D7</f>
        <v/>
      </c>
      <c r="E8" s="13">
        <f>D8+E6-E7</f>
        <v/>
      </c>
      <c r="F8" s="13">
        <f>E8+F6-F7</f>
        <v/>
      </c>
      <c r="G8" s="13">
        <f>F8+G6-G7</f>
        <v/>
      </c>
      <c r="H8" s="13">
        <f>G8+H6-H7</f>
        <v/>
      </c>
      <c r="I8" s="13">
        <f>H8+I6-I7</f>
        <v/>
      </c>
      <c r="J8" s="13">
        <f>I8+J6-J7</f>
        <v/>
      </c>
      <c r="K8" s="13">
        <f>J8+K6-K7</f>
        <v/>
      </c>
      <c r="L8" s="13">
        <f>K8+L6-L7</f>
        <v/>
      </c>
      <c r="M8" s="13">
        <f>L8+M6-M7</f>
        <v/>
      </c>
      <c r="N8" s="13">
        <f>M8+N6-N7</f>
        <v/>
      </c>
      <c r="O8" s="13">
        <f>N8+O6-O7</f>
        <v/>
      </c>
      <c r="P8" s="13">
        <f>O8+P6-P7</f>
        <v/>
      </c>
      <c r="Q8" s="13">
        <f>P8+Q6-Q7</f>
        <v/>
      </c>
      <c r="R8" s="13">
        <f>Q8+R6-R7</f>
        <v/>
      </c>
      <c r="S8" s="13">
        <f>R8+S6-S7</f>
        <v/>
      </c>
      <c r="T8" s="13">
        <f>S8+T6-T7</f>
        <v/>
      </c>
      <c r="U8" s="13">
        <f>T8+U6-U7</f>
        <v/>
      </c>
      <c r="V8" s="13">
        <f>U8+V6-V7</f>
        <v/>
      </c>
      <c r="W8" s="13">
        <f>V8+W6-W7</f>
        <v/>
      </c>
      <c r="X8" s="13">
        <f>W8+X6-X7</f>
        <v/>
      </c>
      <c r="Y8" s="13">
        <f>X8+Y6-Y7</f>
        <v/>
      </c>
      <c r="Z8" s="13">
        <f>Y8+Z6-Z7</f>
        <v/>
      </c>
      <c r="AA8" s="13">
        <f>Z8+AA6-AA7</f>
        <v/>
      </c>
      <c r="AB8" s="13">
        <f>AA8+AB6-AB7</f>
        <v/>
      </c>
      <c r="AC8" s="13">
        <f>AB8+AC6-AC7</f>
        <v/>
      </c>
      <c r="AD8" s="13">
        <f>AC8+AD6-AD7</f>
        <v/>
      </c>
      <c r="AE8" s="13">
        <f>AD8+AE6-AE7</f>
        <v/>
      </c>
      <c r="AF8" s="13">
        <f>AE8+AF6-AF7</f>
        <v/>
      </c>
      <c r="AG8" s="13">
        <f>AF8+AG6-AG7</f>
        <v/>
      </c>
      <c r="AH8" s="13">
        <f>AG8+AH6-AH7</f>
        <v/>
      </c>
      <c r="AI8" s="13">
        <f>AH8+AI6-AI7</f>
        <v/>
      </c>
      <c r="AJ8" s="13">
        <f>AI8+AJ6-AJ7</f>
        <v/>
      </c>
      <c r="AK8" s="13">
        <f>AJ8+AK6-AK7</f>
        <v/>
      </c>
      <c r="AL8" s="13">
        <f>AK8+AL6-AL7</f>
        <v/>
      </c>
      <c r="AM8" s="13">
        <f>AL8+AM6-AM7</f>
        <v/>
      </c>
      <c r="AN8" s="13">
        <f>AM8+AN6-AN7</f>
        <v/>
      </c>
      <c r="AO8" s="13">
        <f>AN8+AO6-AO7</f>
        <v/>
      </c>
      <c r="AP8" s="13">
        <f>AO8+AP6-AP7</f>
        <v/>
      </c>
      <c r="AQ8" s="13">
        <f>AP8+AQ6-AQ7</f>
        <v/>
      </c>
      <c r="AR8" s="13">
        <f>AQ8+AR6-AR7</f>
        <v/>
      </c>
      <c r="AS8" s="13">
        <f>AR8+AS6-AS7</f>
        <v/>
      </c>
      <c r="AT8" s="13">
        <f>AS8+AT6-AT7</f>
        <v/>
      </c>
      <c r="AU8" s="13">
        <f>AT8+AU6-AU7</f>
        <v/>
      </c>
      <c r="AV8" s="13">
        <f>AU8+AV6-AV7</f>
        <v/>
      </c>
      <c r="AW8" s="13">
        <f>AV8+AW6-AW7</f>
        <v/>
      </c>
      <c r="AX8" s="13">
        <f>AW8+AX6-AX7</f>
        <v/>
      </c>
      <c r="AY8" s="13">
        <f>AX8+AY6-AY7</f>
        <v/>
      </c>
      <c r="AZ8" s="13">
        <f>AY8+AZ6-AZ7</f>
        <v/>
      </c>
      <c r="BA8" s="13">
        <f>AZ8+BA6-BA7</f>
        <v/>
      </c>
      <c r="BB8" s="13">
        <f>BA8+BB6-BB7</f>
        <v/>
      </c>
      <c r="BC8" s="13">
        <f>BB8+BC6-BC7</f>
        <v/>
      </c>
      <c r="BD8" s="13">
        <f>BC8+BD6-BD7</f>
        <v/>
      </c>
      <c r="BE8" s="13">
        <f>BD8+BE6-BE7</f>
        <v/>
      </c>
      <c r="BF8" s="13">
        <f>BE8+BF6-BF7</f>
        <v/>
      </c>
      <c r="BG8" s="13">
        <f>BF8+BG6-BG7</f>
        <v/>
      </c>
      <c r="BH8" s="13">
        <f>BG8+BH6-BH7</f>
        <v/>
      </c>
      <c r="BI8" s="13">
        <f>BH8+BI6-BI7</f>
        <v/>
      </c>
      <c r="BJ8" s="13">
        <f>BI8+BJ6-BJ7</f>
        <v/>
      </c>
    </row>
    <row r="9">
      <c r="A9" t="inlineStr">
        <is>
          <t>トライアル中店舗</t>
        </is>
      </c>
      <c r="C9" s="13">
        <f>SUM(C5:C5)</f>
        <v/>
      </c>
      <c r="D9" s="13">
        <f>SUM(C5:D5)</f>
        <v/>
      </c>
      <c r="E9" s="13">
        <f>SUM(C5:E5)</f>
        <v/>
      </c>
      <c r="F9" s="13">
        <f>SUM(D5:F5)</f>
        <v/>
      </c>
      <c r="G9" s="13">
        <f>SUM(E5:G5)</f>
        <v/>
      </c>
      <c r="H9" s="13">
        <f>SUM(F5:H5)</f>
        <v/>
      </c>
      <c r="I9" s="13">
        <f>SUM(G5:I5)</f>
        <v/>
      </c>
      <c r="J9" s="13">
        <f>SUM(H5:J5)</f>
        <v/>
      </c>
      <c r="K9" s="13">
        <f>SUM(I5:K5)</f>
        <v/>
      </c>
      <c r="L9" s="13">
        <f>SUM(J5:L5)</f>
        <v/>
      </c>
      <c r="M9" s="13">
        <f>SUM(K5:M5)</f>
        <v/>
      </c>
      <c r="N9" s="13">
        <f>SUM(L5:N5)</f>
        <v/>
      </c>
      <c r="O9" s="13">
        <f>SUM(M5:O5)</f>
        <v/>
      </c>
      <c r="P9" s="13">
        <f>SUM(N5:P5)</f>
        <v/>
      </c>
      <c r="Q9" s="13">
        <f>SUM(O5:Q5)</f>
        <v/>
      </c>
      <c r="R9" s="13">
        <f>SUM(P5:R5)</f>
        <v/>
      </c>
      <c r="S9" s="13">
        <f>SUM(Q5:S5)</f>
        <v/>
      </c>
      <c r="T9" s="13">
        <f>SUM(R5:T5)</f>
        <v/>
      </c>
      <c r="U9" s="13">
        <f>SUM(S5:U5)</f>
        <v/>
      </c>
      <c r="V9" s="13">
        <f>SUM(T5:V5)</f>
        <v/>
      </c>
      <c r="W9" s="13">
        <f>SUM(U5:W5)</f>
        <v/>
      </c>
      <c r="X9" s="13">
        <f>SUM(V5:X5)</f>
        <v/>
      </c>
      <c r="Y9" s="13">
        <f>SUM(W5:Y5)</f>
        <v/>
      </c>
      <c r="Z9" s="13">
        <f>SUM(X5:Z5)</f>
        <v/>
      </c>
      <c r="AA9" s="13">
        <f>SUM(Y5:AA5)</f>
        <v/>
      </c>
      <c r="AB9" s="13">
        <f>SUM(Z5:AB5)</f>
        <v/>
      </c>
      <c r="AC9" s="13">
        <f>SUM(AA5:AC5)</f>
        <v/>
      </c>
      <c r="AD9" s="13">
        <f>SUM(AB5:AD5)</f>
        <v/>
      </c>
      <c r="AE9" s="13">
        <f>SUM(AC5:AE5)</f>
        <v/>
      </c>
      <c r="AF9" s="13">
        <f>SUM(AD5:AF5)</f>
        <v/>
      </c>
      <c r="AG9" s="13">
        <f>SUM(AE5:AG5)</f>
        <v/>
      </c>
      <c r="AH9" s="13">
        <f>SUM(AF5:AH5)</f>
        <v/>
      </c>
      <c r="AI9" s="13">
        <f>SUM(AG5:AI5)</f>
        <v/>
      </c>
      <c r="AJ9" s="13">
        <f>SUM(AH5:AJ5)</f>
        <v/>
      </c>
      <c r="AK9" s="13">
        <f>SUM(AI5:AK5)</f>
        <v/>
      </c>
      <c r="AL9" s="13">
        <f>SUM(AJ5:AL5)</f>
        <v/>
      </c>
      <c r="AM9" s="13">
        <f>SUM(AK5:AM5)</f>
        <v/>
      </c>
      <c r="AN9" s="13">
        <f>SUM(AL5:AN5)</f>
        <v/>
      </c>
      <c r="AO9" s="13">
        <f>SUM(AM5:AO5)</f>
        <v/>
      </c>
      <c r="AP9" s="13">
        <f>SUM(AN5:AP5)</f>
        <v/>
      </c>
      <c r="AQ9" s="13">
        <f>SUM(AO5:AQ5)</f>
        <v/>
      </c>
      <c r="AR9" s="13">
        <f>SUM(AP5:AR5)</f>
        <v/>
      </c>
      <c r="AS9" s="13">
        <f>SUM(AQ5:AS5)</f>
        <v/>
      </c>
      <c r="AT9" s="13">
        <f>SUM(AR5:AT5)</f>
        <v/>
      </c>
      <c r="AU9" s="13">
        <f>SUM(AS5:AU5)</f>
        <v/>
      </c>
      <c r="AV9" s="13">
        <f>SUM(AT5:AV5)</f>
        <v/>
      </c>
      <c r="AW9" s="13">
        <f>SUM(AU5:AW5)</f>
        <v/>
      </c>
      <c r="AX9" s="13">
        <f>SUM(AV5:AX5)</f>
        <v/>
      </c>
      <c r="AY9" s="13">
        <f>SUM(AW5:AY5)</f>
        <v/>
      </c>
      <c r="AZ9" s="13">
        <f>SUM(AX5:AZ5)</f>
        <v/>
      </c>
      <c r="BA9" s="13">
        <f>SUM(AY5:BA5)</f>
        <v/>
      </c>
      <c r="BB9" s="13">
        <f>SUM(AZ5:BB5)</f>
        <v/>
      </c>
      <c r="BC9" s="13">
        <f>SUM(BA5:BC5)</f>
        <v/>
      </c>
      <c r="BD9" s="13">
        <f>SUM(BB5:BD5)</f>
        <v/>
      </c>
      <c r="BE9" s="13">
        <f>SUM(BC5:BE5)</f>
        <v/>
      </c>
      <c r="BF9" s="13">
        <f>SUM(BD5:BF5)</f>
        <v/>
      </c>
      <c r="BG9" s="13">
        <f>SUM(BE5:BG5)</f>
        <v/>
      </c>
      <c r="BH9" s="13">
        <f>SUM(BF5:BH5)</f>
        <v/>
      </c>
      <c r="BI9" s="13">
        <f>SUM(BG5:BI5)</f>
        <v/>
      </c>
      <c r="BJ9" s="13">
        <f>SUM(BH5:BJ5)</f>
        <v/>
      </c>
    </row>
    <row r="10">
      <c r="A10" t="inlineStr">
        <is>
          <t>平均月額</t>
        </is>
      </c>
      <c r="C10" s="13">
        <f>前提条件!$D$15</f>
        <v/>
      </c>
      <c r="D10" s="13">
        <f>前提条件!$D$15</f>
        <v/>
      </c>
      <c r="E10" s="13">
        <f>前提条件!$D$15</f>
        <v/>
      </c>
      <c r="F10" s="13">
        <f>前提条件!$D$15</f>
        <v/>
      </c>
      <c r="G10" s="13">
        <f>前提条件!$D$15</f>
        <v/>
      </c>
      <c r="H10" s="13">
        <f>前提条件!$D$15</f>
        <v/>
      </c>
      <c r="I10" s="13">
        <f>前提条件!$D$15</f>
        <v/>
      </c>
      <c r="J10" s="13">
        <f>前提条件!$D$15</f>
        <v/>
      </c>
      <c r="K10" s="13">
        <f>前提条件!$D$15</f>
        <v/>
      </c>
      <c r="L10" s="13">
        <f>前提条件!$D$15</f>
        <v/>
      </c>
      <c r="M10" s="13">
        <f>前提条件!$D$15</f>
        <v/>
      </c>
      <c r="N10" s="13">
        <f>前提条件!$D$15</f>
        <v/>
      </c>
      <c r="O10" s="13">
        <f>前提条件!$D$15</f>
        <v/>
      </c>
      <c r="P10" s="13">
        <f>前提条件!$D$15</f>
        <v/>
      </c>
      <c r="Q10" s="13">
        <f>前提条件!$D$15</f>
        <v/>
      </c>
      <c r="R10" s="13">
        <f>前提条件!$D$15</f>
        <v/>
      </c>
      <c r="S10" s="13">
        <f>前提条件!$D$15</f>
        <v/>
      </c>
      <c r="T10" s="13">
        <f>前提条件!$D$15</f>
        <v/>
      </c>
      <c r="U10" s="13">
        <f>前提条件!$D$15</f>
        <v/>
      </c>
      <c r="V10" s="13">
        <f>前提条件!$D$15</f>
        <v/>
      </c>
      <c r="W10" s="13">
        <f>前提条件!$D$15</f>
        <v/>
      </c>
      <c r="X10" s="13">
        <f>前提条件!$D$15</f>
        <v/>
      </c>
      <c r="Y10" s="13">
        <f>前提条件!$D$15</f>
        <v/>
      </c>
      <c r="Z10" s="13">
        <f>前提条件!$D$15</f>
        <v/>
      </c>
      <c r="AA10" s="13">
        <f>前提条件!$D$15</f>
        <v/>
      </c>
      <c r="AB10" s="13">
        <f>前提条件!$D$15</f>
        <v/>
      </c>
      <c r="AC10" s="13">
        <f>前提条件!$D$15</f>
        <v/>
      </c>
      <c r="AD10" s="13">
        <f>前提条件!$D$15</f>
        <v/>
      </c>
      <c r="AE10" s="13">
        <f>前提条件!$D$15</f>
        <v/>
      </c>
      <c r="AF10" s="13">
        <f>前提条件!$D$15</f>
        <v/>
      </c>
      <c r="AG10" s="13">
        <f>前提条件!$D$15</f>
        <v/>
      </c>
      <c r="AH10" s="13">
        <f>前提条件!$D$15</f>
        <v/>
      </c>
      <c r="AI10" s="13">
        <f>前提条件!$D$15</f>
        <v/>
      </c>
      <c r="AJ10" s="13">
        <f>前提条件!$D$15</f>
        <v/>
      </c>
      <c r="AK10" s="13">
        <f>前提条件!$D$15</f>
        <v/>
      </c>
      <c r="AL10" s="13">
        <f>前提条件!$D$15</f>
        <v/>
      </c>
      <c r="AM10" s="13">
        <f>前提条件!$D$15</f>
        <v/>
      </c>
      <c r="AN10" s="13">
        <f>前提条件!$D$15</f>
        <v/>
      </c>
      <c r="AO10" s="13">
        <f>前提条件!$D$15</f>
        <v/>
      </c>
      <c r="AP10" s="13">
        <f>前提条件!$D$15</f>
        <v/>
      </c>
      <c r="AQ10" s="13">
        <f>前提条件!$D$15</f>
        <v/>
      </c>
      <c r="AR10" s="13">
        <f>前提条件!$D$15</f>
        <v/>
      </c>
      <c r="AS10" s="13">
        <f>前提条件!$D$15</f>
        <v/>
      </c>
      <c r="AT10" s="13">
        <f>前提条件!$D$15</f>
        <v/>
      </c>
      <c r="AU10" s="13">
        <f>前提条件!$D$15</f>
        <v/>
      </c>
      <c r="AV10" s="13">
        <f>前提条件!$D$15</f>
        <v/>
      </c>
      <c r="AW10" s="13">
        <f>前提条件!$D$15</f>
        <v/>
      </c>
      <c r="AX10" s="13">
        <f>前提条件!$D$15</f>
        <v/>
      </c>
      <c r="AY10" s="13">
        <f>前提条件!$D$15</f>
        <v/>
      </c>
      <c r="AZ10" s="13">
        <f>前提条件!$D$15</f>
        <v/>
      </c>
      <c r="BA10" s="13">
        <f>前提条件!$D$15</f>
        <v/>
      </c>
      <c r="BB10" s="13">
        <f>前提条件!$D$15</f>
        <v/>
      </c>
      <c r="BC10" s="13">
        <f>前提条件!$D$15</f>
        <v/>
      </c>
      <c r="BD10" s="13">
        <f>前提条件!$D$15</f>
        <v/>
      </c>
      <c r="BE10" s="13">
        <f>前提条件!$D$15</f>
        <v/>
      </c>
      <c r="BF10" s="13">
        <f>前提条件!$D$15</f>
        <v/>
      </c>
      <c r="BG10" s="13">
        <f>前提条件!$D$15</f>
        <v/>
      </c>
      <c r="BH10" s="13">
        <f>前提条件!$D$15</f>
        <v/>
      </c>
      <c r="BI10" s="13">
        <f>前提条件!$D$15</f>
        <v/>
      </c>
      <c r="BJ10" s="13">
        <f>前提条件!$D$15</f>
        <v/>
      </c>
    </row>
    <row r="11">
      <c r="A11" t="inlineStr">
        <is>
          <t>サブスク売上</t>
        </is>
      </c>
      <c r="C11" s="13">
        <f>C8*C10</f>
        <v/>
      </c>
      <c r="D11" s="13">
        <f>D8*D10</f>
        <v/>
      </c>
      <c r="E11" s="13">
        <f>E8*E10</f>
        <v/>
      </c>
      <c r="F11" s="13">
        <f>F8*F10</f>
        <v/>
      </c>
      <c r="G11" s="13">
        <f>G8*G10</f>
        <v/>
      </c>
      <c r="H11" s="13">
        <f>H8*H10</f>
        <v/>
      </c>
      <c r="I11" s="13">
        <f>I8*I10</f>
        <v/>
      </c>
      <c r="J11" s="13">
        <f>J8*J10</f>
        <v/>
      </c>
      <c r="K11" s="13">
        <f>K8*K10</f>
        <v/>
      </c>
      <c r="L11" s="13">
        <f>L8*L10</f>
        <v/>
      </c>
      <c r="M11" s="13">
        <f>M8*M10</f>
        <v/>
      </c>
      <c r="N11" s="13">
        <f>N8*N10</f>
        <v/>
      </c>
      <c r="O11" s="13">
        <f>O8*O10</f>
        <v/>
      </c>
      <c r="P11" s="13">
        <f>P8*P10</f>
        <v/>
      </c>
      <c r="Q11" s="13">
        <f>Q8*Q10</f>
        <v/>
      </c>
      <c r="R11" s="13">
        <f>R8*R10</f>
        <v/>
      </c>
      <c r="S11" s="13">
        <f>S8*S10</f>
        <v/>
      </c>
      <c r="T11" s="13">
        <f>T8*T10</f>
        <v/>
      </c>
      <c r="U11" s="13">
        <f>U8*U10</f>
        <v/>
      </c>
      <c r="V11" s="13">
        <f>V8*V10</f>
        <v/>
      </c>
      <c r="W11" s="13">
        <f>W8*W10</f>
        <v/>
      </c>
      <c r="X11" s="13">
        <f>X8*X10</f>
        <v/>
      </c>
      <c r="Y11" s="13">
        <f>Y8*Y10</f>
        <v/>
      </c>
      <c r="Z11" s="13">
        <f>Z8*Z10</f>
        <v/>
      </c>
      <c r="AA11" s="13">
        <f>AA8*AA10</f>
        <v/>
      </c>
      <c r="AB11" s="13">
        <f>AB8*AB10</f>
        <v/>
      </c>
      <c r="AC11" s="13">
        <f>AC8*AC10</f>
        <v/>
      </c>
      <c r="AD11" s="13">
        <f>AD8*AD10</f>
        <v/>
      </c>
      <c r="AE11" s="13">
        <f>AE8*AE10</f>
        <v/>
      </c>
      <c r="AF11" s="13">
        <f>AF8*AF10</f>
        <v/>
      </c>
      <c r="AG11" s="13">
        <f>AG8*AG10</f>
        <v/>
      </c>
      <c r="AH11" s="13">
        <f>AH8*AH10</f>
        <v/>
      </c>
      <c r="AI11" s="13">
        <f>AI8*AI10</f>
        <v/>
      </c>
      <c r="AJ11" s="13">
        <f>AJ8*AJ10</f>
        <v/>
      </c>
      <c r="AK11" s="13">
        <f>AK8*AK10</f>
        <v/>
      </c>
      <c r="AL11" s="13">
        <f>AL8*AL10</f>
        <v/>
      </c>
      <c r="AM11" s="13">
        <f>AM8*AM10</f>
        <v/>
      </c>
      <c r="AN11" s="13">
        <f>AN8*AN10</f>
        <v/>
      </c>
      <c r="AO11" s="13">
        <f>AO8*AO10</f>
        <v/>
      </c>
      <c r="AP11" s="13">
        <f>AP8*AP10</f>
        <v/>
      </c>
      <c r="AQ11" s="13">
        <f>AQ8*AQ10</f>
        <v/>
      </c>
      <c r="AR11" s="13">
        <f>AR8*AR10</f>
        <v/>
      </c>
      <c r="AS11" s="13">
        <f>AS8*AS10</f>
        <v/>
      </c>
      <c r="AT11" s="13">
        <f>AT8*AT10</f>
        <v/>
      </c>
      <c r="AU11" s="13">
        <f>AU8*AU10</f>
        <v/>
      </c>
      <c r="AV11" s="13">
        <f>AV8*AV10</f>
        <v/>
      </c>
      <c r="AW11" s="13">
        <f>AW8*AW10</f>
        <v/>
      </c>
      <c r="AX11" s="13">
        <f>AX8*AX10</f>
        <v/>
      </c>
      <c r="AY11" s="13">
        <f>AY8*AY10</f>
        <v/>
      </c>
      <c r="AZ11" s="13">
        <f>AZ8*AZ10</f>
        <v/>
      </c>
      <c r="BA11" s="13">
        <f>BA8*BA10</f>
        <v/>
      </c>
      <c r="BB11" s="13">
        <f>BB8*BB10</f>
        <v/>
      </c>
      <c r="BC11" s="13">
        <f>BC8*BC10</f>
        <v/>
      </c>
      <c r="BD11" s="13">
        <f>BD8*BD10</f>
        <v/>
      </c>
      <c r="BE11" s="13">
        <f>BE8*BE10</f>
        <v/>
      </c>
      <c r="BF11" s="13">
        <f>BF8*BF10</f>
        <v/>
      </c>
      <c r="BG11" s="13">
        <f>BG8*BG10</f>
        <v/>
      </c>
      <c r="BH11" s="13">
        <f>BH8*BH10</f>
        <v/>
      </c>
      <c r="BI11" s="13">
        <f>BI8*BI10</f>
        <v/>
      </c>
      <c r="BJ11" s="13">
        <f>BJ8*BJ10</f>
        <v/>
      </c>
    </row>
    <row r="12">
      <c r="A12" t="inlineStr">
        <is>
          <t>成功報酬売上</t>
        </is>
      </c>
      <c r="C12" s="13">
        <f>C8*前提条件!$D$16*前提条件!$D$17</f>
        <v/>
      </c>
      <c r="D12" s="13">
        <f>D8*前提条件!$D$16*前提条件!$D$17</f>
        <v/>
      </c>
      <c r="E12" s="13">
        <f>E8*前提条件!$D$16*前提条件!$D$17</f>
        <v/>
      </c>
      <c r="F12" s="13">
        <f>F8*前提条件!$D$16*前提条件!$D$17</f>
        <v/>
      </c>
      <c r="G12" s="13">
        <f>G8*前提条件!$D$16*前提条件!$D$17</f>
        <v/>
      </c>
      <c r="H12" s="13">
        <f>H8*前提条件!$D$16*前提条件!$D$17</f>
        <v/>
      </c>
      <c r="I12" s="13">
        <f>I8*前提条件!$D$16*前提条件!$D$17</f>
        <v/>
      </c>
      <c r="J12" s="13">
        <f>J8*前提条件!$D$16*前提条件!$D$17</f>
        <v/>
      </c>
      <c r="K12" s="13">
        <f>K8*前提条件!$D$16*前提条件!$D$17</f>
        <v/>
      </c>
      <c r="L12" s="13">
        <f>L8*前提条件!$D$16*前提条件!$D$17</f>
        <v/>
      </c>
      <c r="M12" s="13">
        <f>M8*前提条件!$D$16*前提条件!$D$17</f>
        <v/>
      </c>
      <c r="N12" s="13">
        <f>N8*前提条件!$D$16*前提条件!$D$17</f>
        <v/>
      </c>
      <c r="O12" s="13">
        <f>O8*前提条件!$D$16*前提条件!$D$17</f>
        <v/>
      </c>
      <c r="P12" s="13">
        <f>P8*前提条件!$D$16*前提条件!$D$17</f>
        <v/>
      </c>
      <c r="Q12" s="13">
        <f>Q8*前提条件!$D$16*前提条件!$D$17</f>
        <v/>
      </c>
      <c r="R12" s="13">
        <f>R8*前提条件!$D$16*前提条件!$D$17</f>
        <v/>
      </c>
      <c r="S12" s="13">
        <f>S8*前提条件!$D$16*前提条件!$D$17</f>
        <v/>
      </c>
      <c r="T12" s="13">
        <f>T8*前提条件!$D$16*前提条件!$D$17</f>
        <v/>
      </c>
      <c r="U12" s="13">
        <f>U8*前提条件!$D$16*前提条件!$D$17</f>
        <v/>
      </c>
      <c r="V12" s="13">
        <f>V8*前提条件!$D$16*前提条件!$D$17</f>
        <v/>
      </c>
      <c r="W12" s="13">
        <f>W8*前提条件!$D$16*前提条件!$D$17</f>
        <v/>
      </c>
      <c r="X12" s="13">
        <f>X8*前提条件!$D$16*前提条件!$D$17</f>
        <v/>
      </c>
      <c r="Y12" s="13">
        <f>Y8*前提条件!$D$16*前提条件!$D$17</f>
        <v/>
      </c>
      <c r="Z12" s="13">
        <f>Z8*前提条件!$D$16*前提条件!$D$17</f>
        <v/>
      </c>
      <c r="AA12" s="13">
        <f>AA8*前提条件!$D$16*前提条件!$D$17</f>
        <v/>
      </c>
      <c r="AB12" s="13">
        <f>AB8*前提条件!$D$16*前提条件!$D$17</f>
        <v/>
      </c>
      <c r="AC12" s="13">
        <f>AC8*前提条件!$D$16*前提条件!$D$17</f>
        <v/>
      </c>
      <c r="AD12" s="13">
        <f>AD8*前提条件!$D$16*前提条件!$D$17</f>
        <v/>
      </c>
      <c r="AE12" s="13">
        <f>AE8*前提条件!$D$16*前提条件!$D$17</f>
        <v/>
      </c>
      <c r="AF12" s="13">
        <f>AF8*前提条件!$D$16*前提条件!$D$17</f>
        <v/>
      </c>
      <c r="AG12" s="13">
        <f>AG8*前提条件!$D$16*前提条件!$D$17</f>
        <v/>
      </c>
      <c r="AH12" s="13">
        <f>AH8*前提条件!$D$16*前提条件!$D$17</f>
        <v/>
      </c>
      <c r="AI12" s="13">
        <f>AI8*前提条件!$D$16*前提条件!$D$17</f>
        <v/>
      </c>
      <c r="AJ12" s="13">
        <f>AJ8*前提条件!$D$16*前提条件!$D$17</f>
        <v/>
      </c>
      <c r="AK12" s="13">
        <f>AK8*前提条件!$D$16*前提条件!$D$17</f>
        <v/>
      </c>
      <c r="AL12" s="13">
        <f>AL8*前提条件!$D$16*前提条件!$D$17</f>
        <v/>
      </c>
      <c r="AM12" s="13">
        <f>AM8*前提条件!$D$16*前提条件!$D$17</f>
        <v/>
      </c>
      <c r="AN12" s="13">
        <f>AN8*前提条件!$D$16*前提条件!$D$17</f>
        <v/>
      </c>
      <c r="AO12" s="13">
        <f>AO8*前提条件!$D$16*前提条件!$D$17</f>
        <v/>
      </c>
      <c r="AP12" s="13">
        <f>AP8*前提条件!$D$16*前提条件!$D$17</f>
        <v/>
      </c>
      <c r="AQ12" s="13">
        <f>AQ8*前提条件!$D$16*前提条件!$D$17</f>
        <v/>
      </c>
      <c r="AR12" s="13">
        <f>AR8*前提条件!$D$16*前提条件!$D$17</f>
        <v/>
      </c>
      <c r="AS12" s="13">
        <f>AS8*前提条件!$D$16*前提条件!$D$17</f>
        <v/>
      </c>
      <c r="AT12" s="13">
        <f>AT8*前提条件!$D$16*前提条件!$D$17</f>
        <v/>
      </c>
      <c r="AU12" s="13">
        <f>AU8*前提条件!$D$16*前提条件!$D$17</f>
        <v/>
      </c>
      <c r="AV12" s="13">
        <f>AV8*前提条件!$D$16*前提条件!$D$17</f>
        <v/>
      </c>
      <c r="AW12" s="13">
        <f>AW8*前提条件!$D$16*前提条件!$D$17</f>
        <v/>
      </c>
      <c r="AX12" s="13">
        <f>AX8*前提条件!$D$16*前提条件!$D$17</f>
        <v/>
      </c>
      <c r="AY12" s="13">
        <f>AY8*前提条件!$D$16*前提条件!$D$17</f>
        <v/>
      </c>
      <c r="AZ12" s="13">
        <f>AZ8*前提条件!$D$16*前提条件!$D$17</f>
        <v/>
      </c>
      <c r="BA12" s="13">
        <f>BA8*前提条件!$D$16*前提条件!$D$17</f>
        <v/>
      </c>
      <c r="BB12" s="13">
        <f>BB8*前提条件!$D$16*前提条件!$D$17</f>
        <v/>
      </c>
      <c r="BC12" s="13">
        <f>BC8*前提条件!$D$16*前提条件!$D$17</f>
        <v/>
      </c>
      <c r="BD12" s="13">
        <f>BD8*前提条件!$D$16*前提条件!$D$17</f>
        <v/>
      </c>
      <c r="BE12" s="13">
        <f>BE8*前提条件!$D$16*前提条件!$D$17</f>
        <v/>
      </c>
      <c r="BF12" s="13">
        <f>BF8*前提条件!$D$16*前提条件!$D$17</f>
        <v/>
      </c>
      <c r="BG12" s="13">
        <f>BG8*前提条件!$D$16*前提条件!$D$17</f>
        <v/>
      </c>
      <c r="BH12" s="13">
        <f>BH8*前提条件!$D$16*前提条件!$D$17</f>
        <v/>
      </c>
      <c r="BI12" s="13">
        <f>BI8*前提条件!$D$16*前提条件!$D$17</f>
        <v/>
      </c>
      <c r="BJ12" s="13">
        <f>BJ8*前提条件!$D$16*前提条件!$D$17</f>
        <v/>
      </c>
    </row>
    <row r="13">
      <c r="A13" s="5" t="inlineStr">
        <is>
          <t>売上合計</t>
        </is>
      </c>
      <c r="B13" s="5" t="n"/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  <c r="M13" s="14">
        <f>M11+M12</f>
        <v/>
      </c>
      <c r="N13" s="14">
        <f>N11+N12</f>
        <v/>
      </c>
      <c r="O13" s="14">
        <f>O11+O12</f>
        <v/>
      </c>
      <c r="P13" s="14">
        <f>P11+P12</f>
        <v/>
      </c>
      <c r="Q13" s="14">
        <f>Q11+Q12</f>
        <v/>
      </c>
      <c r="R13" s="14">
        <f>R11+R12</f>
        <v/>
      </c>
      <c r="S13" s="14">
        <f>S11+S12</f>
        <v/>
      </c>
      <c r="T13" s="14">
        <f>T11+T12</f>
        <v/>
      </c>
      <c r="U13" s="14">
        <f>U11+U12</f>
        <v/>
      </c>
      <c r="V13" s="14">
        <f>V11+V12</f>
        <v/>
      </c>
      <c r="W13" s="14">
        <f>W11+W12</f>
        <v/>
      </c>
      <c r="X13" s="14">
        <f>X11+X12</f>
        <v/>
      </c>
      <c r="Y13" s="14">
        <f>Y11+Y12</f>
        <v/>
      </c>
      <c r="Z13" s="14">
        <f>Z11+Z12</f>
        <v/>
      </c>
      <c r="AA13" s="14">
        <f>AA11+AA12</f>
        <v/>
      </c>
      <c r="AB13" s="14">
        <f>AB11+AB12</f>
        <v/>
      </c>
      <c r="AC13" s="14">
        <f>AC11+AC12</f>
        <v/>
      </c>
      <c r="AD13" s="14">
        <f>AD11+AD12</f>
        <v/>
      </c>
      <c r="AE13" s="14">
        <f>AE11+AE12</f>
        <v/>
      </c>
      <c r="AF13" s="14">
        <f>AF11+AF12</f>
        <v/>
      </c>
      <c r="AG13" s="14">
        <f>AG11+AG12</f>
        <v/>
      </c>
      <c r="AH13" s="14">
        <f>AH11+AH12</f>
        <v/>
      </c>
      <c r="AI13" s="14">
        <f>AI11+AI12</f>
        <v/>
      </c>
      <c r="AJ13" s="14">
        <f>AJ11+AJ12</f>
        <v/>
      </c>
      <c r="AK13" s="14">
        <f>AK11+AK12</f>
        <v/>
      </c>
      <c r="AL13" s="14">
        <f>AL11+AL12</f>
        <v/>
      </c>
      <c r="AM13" s="14">
        <f>AM11+AM12</f>
        <v/>
      </c>
      <c r="AN13" s="14">
        <f>AN11+AN12</f>
        <v/>
      </c>
      <c r="AO13" s="14">
        <f>AO11+AO12</f>
        <v/>
      </c>
      <c r="AP13" s="14">
        <f>AP11+AP12</f>
        <v/>
      </c>
      <c r="AQ13" s="14">
        <f>AQ11+AQ12</f>
        <v/>
      </c>
      <c r="AR13" s="14">
        <f>AR11+AR12</f>
        <v/>
      </c>
      <c r="AS13" s="14">
        <f>AS11+AS12</f>
        <v/>
      </c>
      <c r="AT13" s="14">
        <f>AT11+AT12</f>
        <v/>
      </c>
      <c r="AU13" s="14">
        <f>AU11+AU12</f>
        <v/>
      </c>
      <c r="AV13" s="14">
        <f>AV11+AV12</f>
        <v/>
      </c>
      <c r="AW13" s="14">
        <f>AW11+AW12</f>
        <v/>
      </c>
      <c r="AX13" s="14">
        <f>AX11+AX12</f>
        <v/>
      </c>
      <c r="AY13" s="14">
        <f>AY11+AY12</f>
        <v/>
      </c>
      <c r="AZ13" s="14">
        <f>AZ11+AZ12</f>
        <v/>
      </c>
      <c r="BA13" s="14">
        <f>BA11+BA12</f>
        <v/>
      </c>
      <c r="BB13" s="14">
        <f>BB11+BB12</f>
        <v/>
      </c>
      <c r="BC13" s="14">
        <f>BC11+BC12</f>
        <v/>
      </c>
      <c r="BD13" s="14">
        <f>BD11+BD12</f>
        <v/>
      </c>
      <c r="BE13" s="14">
        <f>BE11+BE12</f>
        <v/>
      </c>
      <c r="BF13" s="14">
        <f>BF11+BF12</f>
        <v/>
      </c>
      <c r="BG13" s="14">
        <f>BG11+BG12</f>
        <v/>
      </c>
      <c r="BH13" s="14">
        <f>BH11+BH12</f>
        <v/>
      </c>
      <c r="BI13" s="14">
        <f>BI11+BI12</f>
        <v/>
      </c>
      <c r="BJ13" s="13">
        <f>BJ11+BJ12</f>
        <v/>
      </c>
    </row>
    <row r="14">
      <c r="A14" t="inlineStr">
        <is>
          <t>決済手数料</t>
        </is>
      </c>
      <c r="C14" s="13">
        <f>C13*前提条件!$D$18</f>
        <v/>
      </c>
      <c r="D14" s="13">
        <f>D13*前提条件!$D$18</f>
        <v/>
      </c>
      <c r="E14" s="13">
        <f>E13*前提条件!$D$18</f>
        <v/>
      </c>
      <c r="F14" s="13">
        <f>F13*前提条件!$D$18</f>
        <v/>
      </c>
      <c r="G14" s="13">
        <f>G13*前提条件!$D$18</f>
        <v/>
      </c>
      <c r="H14" s="13">
        <f>H13*前提条件!$D$18</f>
        <v/>
      </c>
      <c r="I14" s="13">
        <f>I13*前提条件!$D$18</f>
        <v/>
      </c>
      <c r="J14" s="13">
        <f>J13*前提条件!$D$18</f>
        <v/>
      </c>
      <c r="K14" s="13">
        <f>K13*前提条件!$D$18</f>
        <v/>
      </c>
      <c r="L14" s="13">
        <f>L13*前提条件!$D$18</f>
        <v/>
      </c>
      <c r="M14" s="13">
        <f>M13*前提条件!$D$18</f>
        <v/>
      </c>
      <c r="N14" s="13">
        <f>N13*前提条件!$D$18</f>
        <v/>
      </c>
      <c r="O14" s="13">
        <f>O13*前提条件!$D$18</f>
        <v/>
      </c>
      <c r="P14" s="13">
        <f>P13*前提条件!$D$18</f>
        <v/>
      </c>
      <c r="Q14" s="13">
        <f>Q13*前提条件!$D$18</f>
        <v/>
      </c>
      <c r="R14" s="13">
        <f>R13*前提条件!$D$18</f>
        <v/>
      </c>
      <c r="S14" s="13">
        <f>S13*前提条件!$D$18</f>
        <v/>
      </c>
      <c r="T14" s="13">
        <f>T13*前提条件!$D$18</f>
        <v/>
      </c>
      <c r="U14" s="13">
        <f>U13*前提条件!$D$18</f>
        <v/>
      </c>
      <c r="V14" s="13">
        <f>V13*前提条件!$D$18</f>
        <v/>
      </c>
      <c r="W14" s="13">
        <f>W13*前提条件!$D$18</f>
        <v/>
      </c>
      <c r="X14" s="13">
        <f>X13*前提条件!$D$18</f>
        <v/>
      </c>
      <c r="Y14" s="13">
        <f>Y13*前提条件!$D$18</f>
        <v/>
      </c>
      <c r="Z14" s="13">
        <f>Z13*前提条件!$D$18</f>
        <v/>
      </c>
      <c r="AA14" s="13">
        <f>AA13*前提条件!$D$18</f>
        <v/>
      </c>
      <c r="AB14" s="13">
        <f>AB13*前提条件!$D$18</f>
        <v/>
      </c>
      <c r="AC14" s="13">
        <f>AC13*前提条件!$D$18</f>
        <v/>
      </c>
      <c r="AD14" s="13">
        <f>AD13*前提条件!$D$18</f>
        <v/>
      </c>
      <c r="AE14" s="13">
        <f>AE13*前提条件!$D$18</f>
        <v/>
      </c>
      <c r="AF14" s="13">
        <f>AF13*前提条件!$D$18</f>
        <v/>
      </c>
      <c r="AG14" s="13">
        <f>AG13*前提条件!$D$18</f>
        <v/>
      </c>
      <c r="AH14" s="13">
        <f>AH13*前提条件!$D$18</f>
        <v/>
      </c>
      <c r="AI14" s="13">
        <f>AI13*前提条件!$D$18</f>
        <v/>
      </c>
      <c r="AJ14" s="13">
        <f>AJ13*前提条件!$D$18</f>
        <v/>
      </c>
      <c r="AK14" s="13">
        <f>AK13*前提条件!$D$18</f>
        <v/>
      </c>
      <c r="AL14" s="13">
        <f>AL13*前提条件!$D$18</f>
        <v/>
      </c>
      <c r="AM14" s="13">
        <f>AM13*前提条件!$D$18</f>
        <v/>
      </c>
      <c r="AN14" s="13">
        <f>AN13*前提条件!$D$18</f>
        <v/>
      </c>
      <c r="AO14" s="13">
        <f>AO13*前提条件!$D$18</f>
        <v/>
      </c>
      <c r="AP14" s="13">
        <f>AP13*前提条件!$D$18</f>
        <v/>
      </c>
      <c r="AQ14" s="13">
        <f>AQ13*前提条件!$D$18</f>
        <v/>
      </c>
      <c r="AR14" s="13">
        <f>AR13*前提条件!$D$18</f>
        <v/>
      </c>
      <c r="AS14" s="13">
        <f>AS13*前提条件!$D$18</f>
        <v/>
      </c>
      <c r="AT14" s="13">
        <f>AT13*前提条件!$D$18</f>
        <v/>
      </c>
      <c r="AU14" s="13">
        <f>AU13*前提条件!$D$18</f>
        <v/>
      </c>
      <c r="AV14" s="13">
        <f>AV13*前提条件!$D$18</f>
        <v/>
      </c>
      <c r="AW14" s="13">
        <f>AW13*前提条件!$D$18</f>
        <v/>
      </c>
      <c r="AX14" s="13">
        <f>AX13*前提条件!$D$18</f>
        <v/>
      </c>
      <c r="AY14" s="13">
        <f>AY13*前提条件!$D$18</f>
        <v/>
      </c>
      <c r="AZ14" s="13">
        <f>AZ13*前提条件!$D$18</f>
        <v/>
      </c>
      <c r="BA14" s="13">
        <f>BA13*前提条件!$D$18</f>
        <v/>
      </c>
      <c r="BB14" s="13">
        <f>BB13*前提条件!$D$18</f>
        <v/>
      </c>
      <c r="BC14" s="13">
        <f>BC13*前提条件!$D$18</f>
        <v/>
      </c>
      <c r="BD14" s="13">
        <f>BD13*前提条件!$D$18</f>
        <v/>
      </c>
      <c r="BE14" s="13">
        <f>BE13*前提条件!$D$18</f>
        <v/>
      </c>
      <c r="BF14" s="13">
        <f>BF13*前提条件!$D$18</f>
        <v/>
      </c>
      <c r="BG14" s="13">
        <f>BG13*前提条件!$D$18</f>
        <v/>
      </c>
      <c r="BH14" s="13">
        <f>BH13*前提条件!$D$18</f>
        <v/>
      </c>
      <c r="BI14" s="13">
        <f>BI13*前提条件!$D$18</f>
        <v/>
      </c>
      <c r="BJ14" s="13">
        <f>BJ13*前提条件!$D$18</f>
        <v/>
      </c>
    </row>
    <row r="15">
      <c r="A15" t="inlineStr">
        <is>
          <t>サーバー・地図API</t>
        </is>
      </c>
      <c r="C15" s="13">
        <f>前提条件!$D$37+前提条件!$D$38*(C8+C9)</f>
        <v/>
      </c>
      <c r="D15" s="13">
        <f>前提条件!$D$37+前提条件!$D$38*(D8+D9)</f>
        <v/>
      </c>
      <c r="E15" s="13">
        <f>前提条件!$D$37+前提条件!$D$38*(E8+E9)</f>
        <v/>
      </c>
      <c r="F15" s="13">
        <f>前提条件!$D$37+前提条件!$D$38*(F8+F9)</f>
        <v/>
      </c>
      <c r="G15" s="13">
        <f>前提条件!$D$37+前提条件!$D$38*(G8+G9)</f>
        <v/>
      </c>
      <c r="H15" s="13">
        <f>前提条件!$D$37+前提条件!$D$38*(H8+H9)</f>
        <v/>
      </c>
      <c r="I15" s="13">
        <f>前提条件!$D$37+前提条件!$D$38*(I8+I9)</f>
        <v/>
      </c>
      <c r="J15" s="13">
        <f>前提条件!$D$37+前提条件!$D$38*(J8+J9)</f>
        <v/>
      </c>
      <c r="K15" s="13">
        <f>前提条件!$D$37+前提条件!$D$38*(K8+K9)</f>
        <v/>
      </c>
      <c r="L15" s="13">
        <f>前提条件!$D$37+前提条件!$D$38*(L8+L9)</f>
        <v/>
      </c>
      <c r="M15" s="13">
        <f>前提条件!$D$37+前提条件!$D$38*(M8+M9)</f>
        <v/>
      </c>
      <c r="N15" s="13">
        <f>前提条件!$D$37+前提条件!$D$38*(N8+N9)</f>
        <v/>
      </c>
      <c r="O15" s="13">
        <f>前提条件!$D$37+前提条件!$D$38*(O8+O9)</f>
        <v/>
      </c>
      <c r="P15" s="13">
        <f>前提条件!$D$37+前提条件!$D$38*(P8+P9)</f>
        <v/>
      </c>
      <c r="Q15" s="13">
        <f>前提条件!$D$37+前提条件!$D$38*(Q8+Q9)</f>
        <v/>
      </c>
      <c r="R15" s="13">
        <f>前提条件!$D$37+前提条件!$D$38*(R8+R9)</f>
        <v/>
      </c>
      <c r="S15" s="13">
        <f>前提条件!$D$37+前提条件!$D$38*(S8+S9)</f>
        <v/>
      </c>
      <c r="T15" s="13">
        <f>前提条件!$D$37+前提条件!$D$38*(T8+T9)</f>
        <v/>
      </c>
      <c r="U15" s="13">
        <f>前提条件!$D$37+前提条件!$D$38*(U8+U9)</f>
        <v/>
      </c>
      <c r="V15" s="13">
        <f>前提条件!$D$37+前提条件!$D$38*(V8+V9)</f>
        <v/>
      </c>
      <c r="W15" s="13">
        <f>前提条件!$D$37+前提条件!$D$38*(W8+W9)</f>
        <v/>
      </c>
      <c r="X15" s="13">
        <f>前提条件!$D$37+前提条件!$D$38*(X8+X9)</f>
        <v/>
      </c>
      <c r="Y15" s="13">
        <f>前提条件!$D$37+前提条件!$D$38*(Y8+Y9)</f>
        <v/>
      </c>
      <c r="Z15" s="13">
        <f>前提条件!$D$37+前提条件!$D$38*(Z8+Z9)</f>
        <v/>
      </c>
      <c r="AA15" s="13">
        <f>前提条件!$D$37+前提条件!$D$38*(AA8+AA9)</f>
        <v/>
      </c>
      <c r="AB15" s="13">
        <f>前提条件!$D$37+前提条件!$D$38*(AB8+AB9)</f>
        <v/>
      </c>
      <c r="AC15" s="13">
        <f>前提条件!$D$37+前提条件!$D$38*(AC8+AC9)</f>
        <v/>
      </c>
      <c r="AD15" s="13">
        <f>前提条件!$D$37+前提条件!$D$38*(AD8+AD9)</f>
        <v/>
      </c>
      <c r="AE15" s="13">
        <f>前提条件!$D$37+前提条件!$D$38*(AE8+AE9)</f>
        <v/>
      </c>
      <c r="AF15" s="13">
        <f>前提条件!$D$37+前提条件!$D$38*(AF8+AF9)</f>
        <v/>
      </c>
      <c r="AG15" s="13">
        <f>前提条件!$D$37+前提条件!$D$38*(AG8+AG9)</f>
        <v/>
      </c>
      <c r="AH15" s="13">
        <f>前提条件!$D$37+前提条件!$D$38*(AH8+AH9)</f>
        <v/>
      </c>
      <c r="AI15" s="13">
        <f>前提条件!$D$37+前提条件!$D$38*(AI8+AI9)</f>
        <v/>
      </c>
      <c r="AJ15" s="13">
        <f>前提条件!$D$37+前提条件!$D$38*(AJ8+AJ9)</f>
        <v/>
      </c>
      <c r="AK15" s="13">
        <f>前提条件!$D$37+前提条件!$D$38*(AK8+AK9)</f>
        <v/>
      </c>
      <c r="AL15" s="13">
        <f>前提条件!$D$37+前提条件!$D$38*(AL8+AL9)</f>
        <v/>
      </c>
      <c r="AM15" s="13">
        <f>前提条件!$D$37+前提条件!$D$38*(AM8+AM9)</f>
        <v/>
      </c>
      <c r="AN15" s="13">
        <f>前提条件!$D$37+前提条件!$D$38*(AN8+AN9)</f>
        <v/>
      </c>
      <c r="AO15" s="13">
        <f>前提条件!$D$37+前提条件!$D$38*(AO8+AO9)</f>
        <v/>
      </c>
      <c r="AP15" s="13">
        <f>前提条件!$D$37+前提条件!$D$38*(AP8+AP9)</f>
        <v/>
      </c>
      <c r="AQ15" s="13">
        <f>前提条件!$D$37+前提条件!$D$38*(AQ8+AQ9)</f>
        <v/>
      </c>
      <c r="AR15" s="13">
        <f>前提条件!$D$37+前提条件!$D$38*(AR8+AR9)</f>
        <v/>
      </c>
      <c r="AS15" s="13">
        <f>前提条件!$D$37+前提条件!$D$38*(AS8+AS9)</f>
        <v/>
      </c>
      <c r="AT15" s="13">
        <f>前提条件!$D$37+前提条件!$D$38*(AT8+AT9)</f>
        <v/>
      </c>
      <c r="AU15" s="13">
        <f>前提条件!$D$37+前提条件!$D$38*(AU8+AU9)</f>
        <v/>
      </c>
      <c r="AV15" s="13">
        <f>前提条件!$D$37+前提条件!$D$38*(AV8+AV9)</f>
        <v/>
      </c>
      <c r="AW15" s="13">
        <f>前提条件!$D$37+前提条件!$D$38*(AW8+AW9)</f>
        <v/>
      </c>
      <c r="AX15" s="13">
        <f>前提条件!$D$37+前提条件!$D$38*(AX8+AX9)</f>
        <v/>
      </c>
      <c r="AY15" s="13">
        <f>前提条件!$D$37+前提条件!$D$38*(AY8+AY9)</f>
        <v/>
      </c>
      <c r="AZ15" s="13">
        <f>前提条件!$D$37+前提条件!$D$38*(AZ8+AZ9)</f>
        <v/>
      </c>
      <c r="BA15" s="13">
        <f>前提条件!$D$37+前提条件!$D$38*(BA8+BA9)</f>
        <v/>
      </c>
      <c r="BB15" s="13">
        <f>前提条件!$D$37+前提条件!$D$38*(BB8+BB9)</f>
        <v/>
      </c>
      <c r="BC15" s="13">
        <f>前提条件!$D$37+前提条件!$D$38*(BC8+BC9)</f>
        <v/>
      </c>
      <c r="BD15" s="13">
        <f>前提条件!$D$37+前提条件!$D$38*(BD8+BD9)</f>
        <v/>
      </c>
      <c r="BE15" s="13">
        <f>前提条件!$D$37+前提条件!$D$38*(BE8+BE9)</f>
        <v/>
      </c>
      <c r="BF15" s="13">
        <f>前提条件!$D$37+前提条件!$D$38*(BF8+BF9)</f>
        <v/>
      </c>
      <c r="BG15" s="13">
        <f>前提条件!$D$37+前提条件!$D$38*(BG8+BG9)</f>
        <v/>
      </c>
      <c r="BH15" s="13">
        <f>前提条件!$D$37+前提条件!$D$38*(BH8+BH9)</f>
        <v/>
      </c>
      <c r="BI15" s="13">
        <f>前提条件!$D$37+前提条件!$D$38*(BI8+BI9)</f>
        <v/>
      </c>
      <c r="BJ15" s="13">
        <f>前提条件!$D$37+前提条件!$D$38*(BJ8+BJ9)</f>
        <v/>
      </c>
    </row>
    <row r="16">
      <c r="A16" t="inlineStr">
        <is>
          <t>創業者報酬</t>
        </is>
      </c>
      <c r="C16" s="13">
        <f>前提条件!$D$20</f>
        <v/>
      </c>
      <c r="D16" s="13">
        <f>前提条件!$D$20</f>
        <v/>
      </c>
      <c r="E16" s="13">
        <f>前提条件!$D$20</f>
        <v/>
      </c>
      <c r="F16" s="13">
        <f>前提条件!$D$20</f>
        <v/>
      </c>
      <c r="G16" s="13">
        <f>前提条件!$D$20</f>
        <v/>
      </c>
      <c r="H16" s="13">
        <f>前提条件!$D$20</f>
        <v/>
      </c>
      <c r="I16" s="13">
        <f>前提条件!$D$20</f>
        <v/>
      </c>
      <c r="J16" s="13">
        <f>前提条件!$D$20</f>
        <v/>
      </c>
      <c r="K16" s="13">
        <f>前提条件!$D$20</f>
        <v/>
      </c>
      <c r="L16" s="13">
        <f>前提条件!$D$20</f>
        <v/>
      </c>
      <c r="M16" s="13">
        <f>前提条件!$D$20</f>
        <v/>
      </c>
      <c r="N16" s="13">
        <f>前提条件!$D$20</f>
        <v/>
      </c>
      <c r="O16" s="13">
        <f>前提条件!$D$20</f>
        <v/>
      </c>
      <c r="P16" s="13">
        <f>前提条件!$D$20</f>
        <v/>
      </c>
      <c r="Q16" s="13">
        <f>前提条件!$D$20</f>
        <v/>
      </c>
      <c r="R16" s="13">
        <f>前提条件!$D$20</f>
        <v/>
      </c>
      <c r="S16" s="13">
        <f>前提条件!$D$20</f>
        <v/>
      </c>
      <c r="T16" s="13">
        <f>前提条件!$D$20</f>
        <v/>
      </c>
      <c r="U16" s="13">
        <f>前提条件!$D$20</f>
        <v/>
      </c>
      <c r="V16" s="13">
        <f>前提条件!$D$20</f>
        <v/>
      </c>
      <c r="W16" s="13">
        <f>前提条件!$D$20</f>
        <v/>
      </c>
      <c r="X16" s="13">
        <f>前提条件!$D$20</f>
        <v/>
      </c>
      <c r="Y16" s="13">
        <f>前提条件!$D$20</f>
        <v/>
      </c>
      <c r="Z16" s="13">
        <f>前提条件!$D$20</f>
        <v/>
      </c>
      <c r="AA16" s="13">
        <f>前提条件!$D$20</f>
        <v/>
      </c>
      <c r="AB16" s="13">
        <f>前提条件!$D$20</f>
        <v/>
      </c>
      <c r="AC16" s="13">
        <f>前提条件!$D$20</f>
        <v/>
      </c>
      <c r="AD16" s="13">
        <f>前提条件!$D$20</f>
        <v/>
      </c>
      <c r="AE16" s="13">
        <f>前提条件!$D$20</f>
        <v/>
      </c>
      <c r="AF16" s="13">
        <f>前提条件!$D$20</f>
        <v/>
      </c>
      <c r="AG16" s="13">
        <f>前提条件!$D$20</f>
        <v/>
      </c>
      <c r="AH16" s="13">
        <f>前提条件!$D$20</f>
        <v/>
      </c>
      <c r="AI16" s="13">
        <f>前提条件!$D$20</f>
        <v/>
      </c>
      <c r="AJ16" s="13">
        <f>前提条件!$D$20</f>
        <v/>
      </c>
      <c r="AK16" s="13">
        <f>前提条件!$D$20</f>
        <v/>
      </c>
      <c r="AL16" s="13">
        <f>前提条件!$D$20</f>
        <v/>
      </c>
      <c r="AM16" s="13">
        <f>前提条件!$D$20</f>
        <v/>
      </c>
      <c r="AN16" s="13">
        <f>前提条件!$D$20</f>
        <v/>
      </c>
      <c r="AO16" s="13">
        <f>前提条件!$D$20</f>
        <v/>
      </c>
      <c r="AP16" s="13">
        <f>前提条件!$D$20</f>
        <v/>
      </c>
      <c r="AQ16" s="13">
        <f>前提条件!$D$20</f>
        <v/>
      </c>
      <c r="AR16" s="13">
        <f>前提条件!$D$20</f>
        <v/>
      </c>
      <c r="AS16" s="13">
        <f>前提条件!$D$20</f>
        <v/>
      </c>
      <c r="AT16" s="13">
        <f>前提条件!$D$20</f>
        <v/>
      </c>
      <c r="AU16" s="13">
        <f>前提条件!$D$20</f>
        <v/>
      </c>
      <c r="AV16" s="13">
        <f>前提条件!$D$20</f>
        <v/>
      </c>
      <c r="AW16" s="13">
        <f>前提条件!$D$20</f>
        <v/>
      </c>
      <c r="AX16" s="13">
        <f>前提条件!$D$20</f>
        <v/>
      </c>
      <c r="AY16" s="13">
        <f>前提条件!$D$20</f>
        <v/>
      </c>
      <c r="AZ16" s="13">
        <f>前提条件!$D$20</f>
        <v/>
      </c>
      <c r="BA16" s="13">
        <f>前提条件!$D$20</f>
        <v/>
      </c>
      <c r="BB16" s="13">
        <f>前提条件!$D$20</f>
        <v/>
      </c>
      <c r="BC16" s="13">
        <f>前提条件!$D$20</f>
        <v/>
      </c>
      <c r="BD16" s="13">
        <f>前提条件!$D$20</f>
        <v/>
      </c>
      <c r="BE16" s="13">
        <f>前提条件!$D$20</f>
        <v/>
      </c>
      <c r="BF16" s="13">
        <f>前提条件!$D$20</f>
        <v/>
      </c>
      <c r="BG16" s="13">
        <f>前提条件!$D$20</f>
        <v/>
      </c>
      <c r="BH16" s="13">
        <f>前提条件!$D$20</f>
        <v/>
      </c>
      <c r="BI16" s="13">
        <f>前提条件!$D$20</f>
        <v/>
      </c>
      <c r="BJ16" s="13">
        <f>前提条件!$D$20</f>
        <v/>
      </c>
    </row>
    <row r="17">
      <c r="A17" t="inlineStr">
        <is>
          <t>エンジニア費</t>
        </is>
      </c>
      <c r="C17" s="13">
        <f>IF(C4=1,前提条件!$D$21,IF(C4=2,前提条件!$D$22,前提条件!$D$23))</f>
        <v/>
      </c>
      <c r="D17" s="13">
        <f>IF(D4=1,前提条件!$D$21,IF(D4=2,前提条件!$D$22,前提条件!$D$23))</f>
        <v/>
      </c>
      <c r="E17" s="13">
        <f>IF(E4=1,前提条件!$D$21,IF(E4=2,前提条件!$D$22,前提条件!$D$23))</f>
        <v/>
      </c>
      <c r="F17" s="13">
        <f>IF(F4=1,前提条件!$D$21,IF(F4=2,前提条件!$D$22,前提条件!$D$23))</f>
        <v/>
      </c>
      <c r="G17" s="13">
        <f>IF(G4=1,前提条件!$D$21,IF(G4=2,前提条件!$D$22,前提条件!$D$23))</f>
        <v/>
      </c>
      <c r="H17" s="13">
        <f>IF(H4=1,前提条件!$D$21,IF(H4=2,前提条件!$D$22,前提条件!$D$23))</f>
        <v/>
      </c>
      <c r="I17" s="13">
        <f>IF(I4=1,前提条件!$D$21,IF(I4=2,前提条件!$D$22,前提条件!$D$23))</f>
        <v/>
      </c>
      <c r="J17" s="13">
        <f>IF(J4=1,前提条件!$D$21,IF(J4=2,前提条件!$D$22,前提条件!$D$23))</f>
        <v/>
      </c>
      <c r="K17" s="13">
        <f>IF(K4=1,前提条件!$D$21,IF(K4=2,前提条件!$D$22,前提条件!$D$23))</f>
        <v/>
      </c>
      <c r="L17" s="13">
        <f>IF(L4=1,前提条件!$D$21,IF(L4=2,前提条件!$D$22,前提条件!$D$23))</f>
        <v/>
      </c>
      <c r="M17" s="13">
        <f>IF(M4=1,前提条件!$D$21,IF(M4=2,前提条件!$D$22,前提条件!$D$23))</f>
        <v/>
      </c>
      <c r="N17" s="13">
        <f>IF(N4=1,前提条件!$D$21,IF(N4=2,前提条件!$D$22,前提条件!$D$23))</f>
        <v/>
      </c>
      <c r="O17" s="13">
        <f>IF(O4=1,前提条件!$D$21,IF(O4=2,前提条件!$D$22,前提条件!$D$23))</f>
        <v/>
      </c>
      <c r="P17" s="13">
        <f>IF(P4=1,前提条件!$D$21,IF(P4=2,前提条件!$D$22,前提条件!$D$23))</f>
        <v/>
      </c>
      <c r="Q17" s="13">
        <f>IF(Q4=1,前提条件!$D$21,IF(Q4=2,前提条件!$D$22,前提条件!$D$23))</f>
        <v/>
      </c>
      <c r="R17" s="13">
        <f>IF(R4=1,前提条件!$D$21,IF(R4=2,前提条件!$D$22,前提条件!$D$23))</f>
        <v/>
      </c>
      <c r="S17" s="13">
        <f>IF(S4=1,前提条件!$D$21,IF(S4=2,前提条件!$D$22,前提条件!$D$23))</f>
        <v/>
      </c>
      <c r="T17" s="13">
        <f>IF(T4=1,前提条件!$D$21,IF(T4=2,前提条件!$D$22,前提条件!$D$23))</f>
        <v/>
      </c>
      <c r="U17" s="13">
        <f>IF(U4=1,前提条件!$D$21,IF(U4=2,前提条件!$D$22,前提条件!$D$23))</f>
        <v/>
      </c>
      <c r="V17" s="13">
        <f>IF(V4=1,前提条件!$D$21,IF(V4=2,前提条件!$D$22,前提条件!$D$23))</f>
        <v/>
      </c>
      <c r="W17" s="13">
        <f>IF(W4=1,前提条件!$D$21,IF(W4=2,前提条件!$D$22,前提条件!$D$23))</f>
        <v/>
      </c>
      <c r="X17" s="13">
        <f>IF(X4=1,前提条件!$D$21,IF(X4=2,前提条件!$D$22,前提条件!$D$23))</f>
        <v/>
      </c>
      <c r="Y17" s="13">
        <f>IF(Y4=1,前提条件!$D$21,IF(Y4=2,前提条件!$D$22,前提条件!$D$23))</f>
        <v/>
      </c>
      <c r="Z17" s="13">
        <f>IF(Z4=1,前提条件!$D$21,IF(Z4=2,前提条件!$D$22,前提条件!$D$23))</f>
        <v/>
      </c>
      <c r="AA17" s="13">
        <f>IF(AA4=1,前提条件!$D$21,IF(AA4=2,前提条件!$D$22,前提条件!$D$23))</f>
        <v/>
      </c>
      <c r="AB17" s="13">
        <f>IF(AB4=1,前提条件!$D$21,IF(AB4=2,前提条件!$D$22,前提条件!$D$23))</f>
        <v/>
      </c>
      <c r="AC17" s="13">
        <f>IF(AC4=1,前提条件!$D$21,IF(AC4=2,前提条件!$D$22,前提条件!$D$23))</f>
        <v/>
      </c>
      <c r="AD17" s="13">
        <f>IF(AD4=1,前提条件!$D$21,IF(AD4=2,前提条件!$D$22,前提条件!$D$23))</f>
        <v/>
      </c>
      <c r="AE17" s="13">
        <f>IF(AE4=1,前提条件!$D$21,IF(AE4=2,前提条件!$D$22,前提条件!$D$23))</f>
        <v/>
      </c>
      <c r="AF17" s="13">
        <f>IF(AF4=1,前提条件!$D$21,IF(AF4=2,前提条件!$D$22,前提条件!$D$23))</f>
        <v/>
      </c>
      <c r="AG17" s="13">
        <f>IF(AG4=1,前提条件!$D$21,IF(AG4=2,前提条件!$D$22,前提条件!$D$23))</f>
        <v/>
      </c>
      <c r="AH17" s="13">
        <f>IF(AH4=1,前提条件!$D$21,IF(AH4=2,前提条件!$D$22,前提条件!$D$23))</f>
        <v/>
      </c>
      <c r="AI17" s="13">
        <f>IF(AI4=1,前提条件!$D$21,IF(AI4=2,前提条件!$D$22,前提条件!$D$23))</f>
        <v/>
      </c>
      <c r="AJ17" s="13">
        <f>IF(AJ4=1,前提条件!$D$21,IF(AJ4=2,前提条件!$D$22,前提条件!$D$23))</f>
        <v/>
      </c>
      <c r="AK17" s="13">
        <f>IF(AK4=1,前提条件!$D$21,IF(AK4=2,前提条件!$D$22,前提条件!$D$23))</f>
        <v/>
      </c>
      <c r="AL17" s="13">
        <f>IF(AL4=1,前提条件!$D$21,IF(AL4=2,前提条件!$D$22,前提条件!$D$23))</f>
        <v/>
      </c>
      <c r="AM17" s="13">
        <f>IF(AM4=1,前提条件!$D$21,IF(AM4=2,前提条件!$D$22,前提条件!$D$23))</f>
        <v/>
      </c>
      <c r="AN17" s="13">
        <f>IF(AN4=1,前提条件!$D$21,IF(AN4=2,前提条件!$D$22,前提条件!$D$23))</f>
        <v/>
      </c>
      <c r="AO17" s="13">
        <f>IF(AO4=1,前提条件!$D$21,IF(AO4=2,前提条件!$D$22,前提条件!$D$23))</f>
        <v/>
      </c>
      <c r="AP17" s="13">
        <f>IF(AP4=1,前提条件!$D$21,IF(AP4=2,前提条件!$D$22,前提条件!$D$23))</f>
        <v/>
      </c>
      <c r="AQ17" s="13">
        <f>IF(AQ4=1,前提条件!$D$21,IF(AQ4=2,前提条件!$D$22,前提条件!$D$23))</f>
        <v/>
      </c>
      <c r="AR17" s="13">
        <f>IF(AR4=1,前提条件!$D$21,IF(AR4=2,前提条件!$D$22,前提条件!$D$23))</f>
        <v/>
      </c>
      <c r="AS17" s="13">
        <f>IF(AS4=1,前提条件!$D$21,IF(AS4=2,前提条件!$D$22,前提条件!$D$23))</f>
        <v/>
      </c>
      <c r="AT17" s="13">
        <f>IF(AT4=1,前提条件!$D$21,IF(AT4=2,前提条件!$D$22,前提条件!$D$23))</f>
        <v/>
      </c>
      <c r="AU17" s="13">
        <f>IF(AU4=1,前提条件!$D$21,IF(AU4=2,前提条件!$D$22,前提条件!$D$23))</f>
        <v/>
      </c>
      <c r="AV17" s="13">
        <f>IF(AV4=1,前提条件!$D$21,IF(AV4=2,前提条件!$D$22,前提条件!$D$23))</f>
        <v/>
      </c>
      <c r="AW17" s="13">
        <f>IF(AW4=1,前提条件!$D$21,IF(AW4=2,前提条件!$D$22,前提条件!$D$23))</f>
        <v/>
      </c>
      <c r="AX17" s="13">
        <f>IF(AX4=1,前提条件!$D$21,IF(AX4=2,前提条件!$D$22,前提条件!$D$23))</f>
        <v/>
      </c>
      <c r="AY17" s="13">
        <f>IF(AY4=1,前提条件!$D$21,IF(AY4=2,前提条件!$D$22,前提条件!$D$23))</f>
        <v/>
      </c>
      <c r="AZ17" s="13">
        <f>IF(AZ4=1,前提条件!$D$21,IF(AZ4=2,前提条件!$D$22,前提条件!$D$23))</f>
        <v/>
      </c>
      <c r="BA17" s="13">
        <f>IF(BA4=1,前提条件!$D$21,IF(BA4=2,前提条件!$D$22,前提条件!$D$23))</f>
        <v/>
      </c>
      <c r="BB17" s="13">
        <f>IF(BB4=1,前提条件!$D$21,IF(BB4=2,前提条件!$D$22,前提条件!$D$23))</f>
        <v/>
      </c>
      <c r="BC17" s="13">
        <f>IF(BC4=1,前提条件!$D$21,IF(BC4=2,前提条件!$D$22,前提条件!$D$23))</f>
        <v/>
      </c>
      <c r="BD17" s="13">
        <f>IF(BD4=1,前提条件!$D$21,IF(BD4=2,前提条件!$D$22,前提条件!$D$23))</f>
        <v/>
      </c>
      <c r="BE17" s="13">
        <f>IF(BE4=1,前提条件!$D$21,IF(BE4=2,前提条件!$D$22,前提条件!$D$23))</f>
        <v/>
      </c>
      <c r="BF17" s="13">
        <f>IF(BF4=1,前提条件!$D$21,IF(BF4=2,前提条件!$D$22,前提条件!$D$23))</f>
        <v/>
      </c>
      <c r="BG17" s="13">
        <f>IF(BG4=1,前提条件!$D$21,IF(BG4=2,前提条件!$D$22,前提条件!$D$23))</f>
        <v/>
      </c>
      <c r="BH17" s="13">
        <f>IF(BH4=1,前提条件!$D$21,IF(BH4=2,前提条件!$D$22,前提条件!$D$23))</f>
        <v/>
      </c>
      <c r="BI17" s="13">
        <f>IF(BI4=1,前提条件!$D$21,IF(BI4=2,前提条件!$D$22,前提条件!$D$23))</f>
        <v/>
      </c>
      <c r="BJ17" s="13">
        <f>IF(BJ4=1,前提条件!$D$21,IF(BJ4=2,前提条件!$D$22,前提条件!$D$23))</f>
        <v/>
      </c>
    </row>
    <row r="18">
      <c r="A18" t="inlineStr">
        <is>
          <t>営業人員(人)</t>
        </is>
      </c>
      <c r="C18" s="12">
        <f>IF(C3&lt;前提条件!$D$26,0,ROUNDUP(C5/前提条件!$D$24,0))</f>
        <v/>
      </c>
      <c r="D18" s="12">
        <f>IF(D3&lt;前提条件!$D$26,0,ROUNDUP(D5/前提条件!$D$24,0))</f>
        <v/>
      </c>
      <c r="E18" s="12">
        <f>IF(E3&lt;前提条件!$D$26,0,ROUNDUP(E5/前提条件!$D$24,0))</f>
        <v/>
      </c>
      <c r="F18" s="12">
        <f>IF(F3&lt;前提条件!$D$26,0,ROUNDUP(F5/前提条件!$D$24,0))</f>
        <v/>
      </c>
      <c r="G18" s="12">
        <f>IF(G3&lt;前提条件!$D$26,0,ROUNDUP(G5/前提条件!$D$24,0))</f>
        <v/>
      </c>
      <c r="H18" s="12">
        <f>IF(H3&lt;前提条件!$D$26,0,ROUNDUP(H5/前提条件!$D$24,0))</f>
        <v/>
      </c>
      <c r="I18" s="12">
        <f>IF(I3&lt;前提条件!$D$26,0,ROUNDUP(I5/前提条件!$D$24,0))</f>
        <v/>
      </c>
      <c r="J18" s="12">
        <f>IF(J3&lt;前提条件!$D$26,0,ROUNDUP(J5/前提条件!$D$24,0))</f>
        <v/>
      </c>
      <c r="K18" s="12">
        <f>IF(K3&lt;前提条件!$D$26,0,ROUNDUP(K5/前提条件!$D$24,0))</f>
        <v/>
      </c>
      <c r="L18" s="12">
        <f>IF(L3&lt;前提条件!$D$26,0,ROUNDUP(L5/前提条件!$D$24,0))</f>
        <v/>
      </c>
      <c r="M18" s="12">
        <f>IF(M3&lt;前提条件!$D$26,0,ROUNDUP(M5/前提条件!$D$24,0))</f>
        <v/>
      </c>
      <c r="N18" s="12">
        <f>IF(N3&lt;前提条件!$D$26,0,ROUNDUP(N5/前提条件!$D$24,0))</f>
        <v/>
      </c>
      <c r="O18" s="12">
        <f>IF(O3&lt;前提条件!$D$26,0,ROUNDUP(O5/前提条件!$D$24,0))</f>
        <v/>
      </c>
      <c r="P18" s="12">
        <f>IF(P3&lt;前提条件!$D$26,0,ROUNDUP(P5/前提条件!$D$24,0))</f>
        <v/>
      </c>
      <c r="Q18" s="12">
        <f>IF(Q3&lt;前提条件!$D$26,0,ROUNDUP(Q5/前提条件!$D$24,0))</f>
        <v/>
      </c>
      <c r="R18" s="12">
        <f>IF(R3&lt;前提条件!$D$26,0,ROUNDUP(R5/前提条件!$D$24,0))</f>
        <v/>
      </c>
      <c r="S18" s="12">
        <f>IF(S3&lt;前提条件!$D$26,0,ROUNDUP(S5/前提条件!$D$24,0))</f>
        <v/>
      </c>
      <c r="T18" s="12">
        <f>IF(T3&lt;前提条件!$D$26,0,ROUNDUP(T5/前提条件!$D$24,0))</f>
        <v/>
      </c>
      <c r="U18" s="12">
        <f>IF(U3&lt;前提条件!$D$26,0,ROUNDUP(U5/前提条件!$D$24,0))</f>
        <v/>
      </c>
      <c r="V18" s="12">
        <f>IF(V3&lt;前提条件!$D$26,0,ROUNDUP(V5/前提条件!$D$24,0))</f>
        <v/>
      </c>
      <c r="W18" s="12">
        <f>IF(W3&lt;前提条件!$D$26,0,ROUNDUP(W5/前提条件!$D$24,0))</f>
        <v/>
      </c>
      <c r="X18" s="12">
        <f>IF(X3&lt;前提条件!$D$26,0,ROUNDUP(X5/前提条件!$D$24,0))</f>
        <v/>
      </c>
      <c r="Y18" s="12">
        <f>IF(Y3&lt;前提条件!$D$26,0,ROUNDUP(Y5/前提条件!$D$24,0))</f>
        <v/>
      </c>
      <c r="Z18" s="12">
        <f>IF(Z3&lt;前提条件!$D$26,0,ROUNDUP(Z5/前提条件!$D$24,0))</f>
        <v/>
      </c>
      <c r="AA18" s="12">
        <f>IF(AA3&lt;前提条件!$D$26,0,ROUNDUP(AA5/前提条件!$D$24,0))</f>
        <v/>
      </c>
      <c r="AB18" s="12">
        <f>IF(AB3&lt;前提条件!$D$26,0,ROUNDUP(AB5/前提条件!$D$24,0))</f>
        <v/>
      </c>
      <c r="AC18" s="12">
        <f>IF(AC3&lt;前提条件!$D$26,0,ROUNDUP(AC5/前提条件!$D$24,0))</f>
        <v/>
      </c>
      <c r="AD18" s="12">
        <f>IF(AD3&lt;前提条件!$D$26,0,ROUNDUP(AD5/前提条件!$D$24,0))</f>
        <v/>
      </c>
      <c r="AE18" s="12">
        <f>IF(AE3&lt;前提条件!$D$26,0,ROUNDUP(AE5/前提条件!$D$24,0))</f>
        <v/>
      </c>
      <c r="AF18" s="12">
        <f>IF(AF3&lt;前提条件!$D$26,0,ROUNDUP(AF5/前提条件!$D$24,0))</f>
        <v/>
      </c>
      <c r="AG18" s="12">
        <f>IF(AG3&lt;前提条件!$D$26,0,ROUNDUP(AG5/前提条件!$D$24,0))</f>
        <v/>
      </c>
      <c r="AH18" s="12">
        <f>IF(AH3&lt;前提条件!$D$26,0,ROUNDUP(AH5/前提条件!$D$24,0))</f>
        <v/>
      </c>
      <c r="AI18" s="12">
        <f>IF(AI3&lt;前提条件!$D$26,0,ROUNDUP(AI5/前提条件!$D$24,0))</f>
        <v/>
      </c>
      <c r="AJ18" s="12">
        <f>IF(AJ3&lt;前提条件!$D$26,0,ROUNDUP(AJ5/前提条件!$D$24,0))</f>
        <v/>
      </c>
      <c r="AK18" s="12">
        <f>IF(AK3&lt;前提条件!$D$26,0,ROUNDUP(AK5/前提条件!$D$24,0))</f>
        <v/>
      </c>
      <c r="AL18" s="12">
        <f>IF(AL3&lt;前提条件!$D$26,0,ROUNDUP(AL5/前提条件!$D$24,0))</f>
        <v/>
      </c>
      <c r="AM18" s="12">
        <f>IF(AM3&lt;前提条件!$D$26,0,ROUNDUP(AM5/前提条件!$D$24,0))</f>
        <v/>
      </c>
      <c r="AN18" s="12">
        <f>IF(AN3&lt;前提条件!$D$26,0,ROUNDUP(AN5/前提条件!$D$24,0))</f>
        <v/>
      </c>
      <c r="AO18" s="12">
        <f>IF(AO3&lt;前提条件!$D$26,0,ROUNDUP(AO5/前提条件!$D$24,0))</f>
        <v/>
      </c>
      <c r="AP18" s="12">
        <f>IF(AP3&lt;前提条件!$D$26,0,ROUNDUP(AP5/前提条件!$D$24,0))</f>
        <v/>
      </c>
      <c r="AQ18" s="12">
        <f>IF(AQ3&lt;前提条件!$D$26,0,ROUNDUP(AQ5/前提条件!$D$24,0))</f>
        <v/>
      </c>
      <c r="AR18" s="12">
        <f>IF(AR3&lt;前提条件!$D$26,0,ROUNDUP(AR5/前提条件!$D$24,0))</f>
        <v/>
      </c>
      <c r="AS18" s="12">
        <f>IF(AS3&lt;前提条件!$D$26,0,ROUNDUP(AS5/前提条件!$D$24,0))</f>
        <v/>
      </c>
      <c r="AT18" s="12">
        <f>IF(AT3&lt;前提条件!$D$26,0,ROUNDUP(AT5/前提条件!$D$24,0))</f>
        <v/>
      </c>
      <c r="AU18" s="12">
        <f>IF(AU3&lt;前提条件!$D$26,0,ROUNDUP(AU5/前提条件!$D$24,0))</f>
        <v/>
      </c>
      <c r="AV18" s="12">
        <f>IF(AV3&lt;前提条件!$D$26,0,ROUNDUP(AV5/前提条件!$D$24,0))</f>
        <v/>
      </c>
      <c r="AW18" s="12">
        <f>IF(AW3&lt;前提条件!$D$26,0,ROUNDUP(AW5/前提条件!$D$24,0))</f>
        <v/>
      </c>
      <c r="AX18" s="12">
        <f>IF(AX3&lt;前提条件!$D$26,0,ROUNDUP(AX5/前提条件!$D$24,0))</f>
        <v/>
      </c>
      <c r="AY18" s="12">
        <f>IF(AY3&lt;前提条件!$D$26,0,ROUNDUP(AY5/前提条件!$D$24,0))</f>
        <v/>
      </c>
      <c r="AZ18" s="12">
        <f>IF(AZ3&lt;前提条件!$D$26,0,ROUNDUP(AZ5/前提条件!$D$24,0))</f>
        <v/>
      </c>
      <c r="BA18" s="12">
        <f>IF(BA3&lt;前提条件!$D$26,0,ROUNDUP(BA5/前提条件!$D$24,0))</f>
        <v/>
      </c>
      <c r="BB18" s="12">
        <f>IF(BB3&lt;前提条件!$D$26,0,ROUNDUP(BB5/前提条件!$D$24,0))</f>
        <v/>
      </c>
      <c r="BC18" s="12">
        <f>IF(BC3&lt;前提条件!$D$26,0,ROUNDUP(BC5/前提条件!$D$24,0))</f>
        <v/>
      </c>
      <c r="BD18" s="12">
        <f>IF(BD3&lt;前提条件!$D$26,0,ROUNDUP(BD5/前提条件!$D$24,0))</f>
        <v/>
      </c>
      <c r="BE18" s="12">
        <f>IF(BE3&lt;前提条件!$D$26,0,ROUNDUP(BE5/前提条件!$D$24,0))</f>
        <v/>
      </c>
      <c r="BF18" s="12">
        <f>IF(BF3&lt;前提条件!$D$26,0,ROUNDUP(BF5/前提条件!$D$24,0))</f>
        <v/>
      </c>
      <c r="BG18" s="12">
        <f>IF(BG3&lt;前提条件!$D$26,0,ROUNDUP(BG5/前提条件!$D$24,0))</f>
        <v/>
      </c>
      <c r="BH18" s="12">
        <f>IF(BH3&lt;前提条件!$D$26,0,ROUNDUP(BH5/前提条件!$D$24,0))</f>
        <v/>
      </c>
      <c r="BI18" s="12">
        <f>IF(BI3&lt;前提条件!$D$26,0,ROUNDUP(BI5/前提条件!$D$24,0))</f>
        <v/>
      </c>
      <c r="BJ18" s="12">
        <f>IF(BJ3&lt;前提条件!$D$26,0,ROUNDUP(BJ5/前提条件!$D$24,0))</f>
        <v/>
      </c>
    </row>
    <row r="19">
      <c r="A19" t="inlineStr">
        <is>
          <t>営業人件費</t>
        </is>
      </c>
      <c r="C19" s="13">
        <f>C18*前提条件!$D$25</f>
        <v/>
      </c>
      <c r="D19" s="13">
        <f>D18*前提条件!$D$25</f>
        <v/>
      </c>
      <c r="E19" s="13">
        <f>E18*前提条件!$D$25</f>
        <v/>
      </c>
      <c r="F19" s="13">
        <f>F18*前提条件!$D$25</f>
        <v/>
      </c>
      <c r="G19" s="13">
        <f>G18*前提条件!$D$25</f>
        <v/>
      </c>
      <c r="H19" s="13">
        <f>H18*前提条件!$D$25</f>
        <v/>
      </c>
      <c r="I19" s="13">
        <f>I18*前提条件!$D$25</f>
        <v/>
      </c>
      <c r="J19" s="13">
        <f>J18*前提条件!$D$25</f>
        <v/>
      </c>
      <c r="K19" s="13">
        <f>K18*前提条件!$D$25</f>
        <v/>
      </c>
      <c r="L19" s="13">
        <f>L18*前提条件!$D$25</f>
        <v/>
      </c>
      <c r="M19" s="13">
        <f>M18*前提条件!$D$25</f>
        <v/>
      </c>
      <c r="N19" s="13">
        <f>N18*前提条件!$D$25</f>
        <v/>
      </c>
      <c r="O19" s="13">
        <f>O18*前提条件!$D$25</f>
        <v/>
      </c>
      <c r="P19" s="13">
        <f>P18*前提条件!$D$25</f>
        <v/>
      </c>
      <c r="Q19" s="13">
        <f>Q18*前提条件!$D$25</f>
        <v/>
      </c>
      <c r="R19" s="13">
        <f>R18*前提条件!$D$25</f>
        <v/>
      </c>
      <c r="S19" s="13">
        <f>S18*前提条件!$D$25</f>
        <v/>
      </c>
      <c r="T19" s="13">
        <f>T18*前提条件!$D$25</f>
        <v/>
      </c>
      <c r="U19" s="13">
        <f>U18*前提条件!$D$25</f>
        <v/>
      </c>
      <c r="V19" s="13">
        <f>V18*前提条件!$D$25</f>
        <v/>
      </c>
      <c r="W19" s="13">
        <f>W18*前提条件!$D$25</f>
        <v/>
      </c>
      <c r="X19" s="13">
        <f>X18*前提条件!$D$25</f>
        <v/>
      </c>
      <c r="Y19" s="13">
        <f>Y18*前提条件!$D$25</f>
        <v/>
      </c>
      <c r="Z19" s="13">
        <f>Z18*前提条件!$D$25</f>
        <v/>
      </c>
      <c r="AA19" s="13">
        <f>AA18*前提条件!$D$25</f>
        <v/>
      </c>
      <c r="AB19" s="13">
        <f>AB18*前提条件!$D$25</f>
        <v/>
      </c>
      <c r="AC19" s="13">
        <f>AC18*前提条件!$D$25</f>
        <v/>
      </c>
      <c r="AD19" s="13">
        <f>AD18*前提条件!$D$25</f>
        <v/>
      </c>
      <c r="AE19" s="13">
        <f>AE18*前提条件!$D$25</f>
        <v/>
      </c>
      <c r="AF19" s="13">
        <f>AF18*前提条件!$D$25</f>
        <v/>
      </c>
      <c r="AG19" s="13">
        <f>AG18*前提条件!$D$25</f>
        <v/>
      </c>
      <c r="AH19" s="13">
        <f>AH18*前提条件!$D$25</f>
        <v/>
      </c>
      <c r="AI19" s="13">
        <f>AI18*前提条件!$D$25</f>
        <v/>
      </c>
      <c r="AJ19" s="13">
        <f>AJ18*前提条件!$D$25</f>
        <v/>
      </c>
      <c r="AK19" s="13">
        <f>AK18*前提条件!$D$25</f>
        <v/>
      </c>
      <c r="AL19" s="13">
        <f>AL18*前提条件!$D$25</f>
        <v/>
      </c>
      <c r="AM19" s="13">
        <f>AM18*前提条件!$D$25</f>
        <v/>
      </c>
      <c r="AN19" s="13">
        <f>AN18*前提条件!$D$25</f>
        <v/>
      </c>
      <c r="AO19" s="13">
        <f>AO18*前提条件!$D$25</f>
        <v/>
      </c>
      <c r="AP19" s="13">
        <f>AP18*前提条件!$D$25</f>
        <v/>
      </c>
      <c r="AQ19" s="13">
        <f>AQ18*前提条件!$D$25</f>
        <v/>
      </c>
      <c r="AR19" s="13">
        <f>AR18*前提条件!$D$25</f>
        <v/>
      </c>
      <c r="AS19" s="13">
        <f>AS18*前提条件!$D$25</f>
        <v/>
      </c>
      <c r="AT19" s="13">
        <f>AT18*前提条件!$D$25</f>
        <v/>
      </c>
      <c r="AU19" s="13">
        <f>AU18*前提条件!$D$25</f>
        <v/>
      </c>
      <c r="AV19" s="13">
        <f>AV18*前提条件!$D$25</f>
        <v/>
      </c>
      <c r="AW19" s="13">
        <f>AW18*前提条件!$D$25</f>
        <v/>
      </c>
      <c r="AX19" s="13">
        <f>AX18*前提条件!$D$25</f>
        <v/>
      </c>
      <c r="AY19" s="13">
        <f>AY18*前提条件!$D$25</f>
        <v/>
      </c>
      <c r="AZ19" s="13">
        <f>AZ18*前提条件!$D$25</f>
        <v/>
      </c>
      <c r="BA19" s="13">
        <f>BA18*前提条件!$D$25</f>
        <v/>
      </c>
      <c r="BB19" s="13">
        <f>BB18*前提条件!$D$25</f>
        <v/>
      </c>
      <c r="BC19" s="13">
        <f>BC18*前提条件!$D$25</f>
        <v/>
      </c>
      <c r="BD19" s="13">
        <f>BD18*前提条件!$D$25</f>
        <v/>
      </c>
      <c r="BE19" s="13">
        <f>BE18*前提条件!$D$25</f>
        <v/>
      </c>
      <c r="BF19" s="13">
        <f>BF18*前提条件!$D$25</f>
        <v/>
      </c>
      <c r="BG19" s="13">
        <f>BG18*前提条件!$D$25</f>
        <v/>
      </c>
      <c r="BH19" s="13">
        <f>BH18*前提条件!$D$25</f>
        <v/>
      </c>
      <c r="BI19" s="13">
        <f>BI18*前提条件!$D$25</f>
        <v/>
      </c>
      <c r="BJ19" s="13">
        <f>BJ18*前提条件!$D$25</f>
        <v/>
      </c>
    </row>
    <row r="20">
      <c r="A20" t="inlineStr">
        <is>
          <t>CS人員(人)</t>
        </is>
      </c>
      <c r="C20" s="12">
        <f>IF(C3&lt;前提条件!$D$29,0,ROUNDUP(C8/前提条件!$D$27,0))</f>
        <v/>
      </c>
      <c r="D20" s="12">
        <f>IF(D3&lt;前提条件!$D$29,0,ROUNDUP(D8/前提条件!$D$27,0))</f>
        <v/>
      </c>
      <c r="E20" s="12">
        <f>IF(E3&lt;前提条件!$D$29,0,ROUNDUP(E8/前提条件!$D$27,0))</f>
        <v/>
      </c>
      <c r="F20" s="12">
        <f>IF(F3&lt;前提条件!$D$29,0,ROUNDUP(F8/前提条件!$D$27,0))</f>
        <v/>
      </c>
      <c r="G20" s="12">
        <f>IF(G3&lt;前提条件!$D$29,0,ROUNDUP(G8/前提条件!$D$27,0))</f>
        <v/>
      </c>
      <c r="H20" s="12">
        <f>IF(H3&lt;前提条件!$D$29,0,ROUNDUP(H8/前提条件!$D$27,0))</f>
        <v/>
      </c>
      <c r="I20" s="12">
        <f>IF(I3&lt;前提条件!$D$29,0,ROUNDUP(I8/前提条件!$D$27,0))</f>
        <v/>
      </c>
      <c r="J20" s="12">
        <f>IF(J3&lt;前提条件!$D$29,0,ROUNDUP(J8/前提条件!$D$27,0))</f>
        <v/>
      </c>
      <c r="K20" s="12">
        <f>IF(K3&lt;前提条件!$D$29,0,ROUNDUP(K8/前提条件!$D$27,0))</f>
        <v/>
      </c>
      <c r="L20" s="12">
        <f>IF(L3&lt;前提条件!$D$29,0,ROUNDUP(L8/前提条件!$D$27,0))</f>
        <v/>
      </c>
      <c r="M20" s="12">
        <f>IF(M3&lt;前提条件!$D$29,0,ROUNDUP(M8/前提条件!$D$27,0))</f>
        <v/>
      </c>
      <c r="N20" s="12">
        <f>IF(N3&lt;前提条件!$D$29,0,ROUNDUP(N8/前提条件!$D$27,0))</f>
        <v/>
      </c>
      <c r="O20" s="12">
        <f>IF(O3&lt;前提条件!$D$29,0,ROUNDUP(O8/前提条件!$D$27,0))</f>
        <v/>
      </c>
      <c r="P20" s="12">
        <f>IF(P3&lt;前提条件!$D$29,0,ROUNDUP(P8/前提条件!$D$27,0))</f>
        <v/>
      </c>
      <c r="Q20" s="12">
        <f>IF(Q3&lt;前提条件!$D$29,0,ROUNDUP(Q8/前提条件!$D$27,0))</f>
        <v/>
      </c>
      <c r="R20" s="12">
        <f>IF(R3&lt;前提条件!$D$29,0,ROUNDUP(R8/前提条件!$D$27,0))</f>
        <v/>
      </c>
      <c r="S20" s="12">
        <f>IF(S3&lt;前提条件!$D$29,0,ROUNDUP(S8/前提条件!$D$27,0))</f>
        <v/>
      </c>
      <c r="T20" s="12">
        <f>IF(T3&lt;前提条件!$D$29,0,ROUNDUP(T8/前提条件!$D$27,0))</f>
        <v/>
      </c>
      <c r="U20" s="12">
        <f>IF(U3&lt;前提条件!$D$29,0,ROUNDUP(U8/前提条件!$D$27,0))</f>
        <v/>
      </c>
      <c r="V20" s="12">
        <f>IF(V3&lt;前提条件!$D$29,0,ROUNDUP(V8/前提条件!$D$27,0))</f>
        <v/>
      </c>
      <c r="W20" s="12">
        <f>IF(W3&lt;前提条件!$D$29,0,ROUNDUP(W8/前提条件!$D$27,0))</f>
        <v/>
      </c>
      <c r="X20" s="12">
        <f>IF(X3&lt;前提条件!$D$29,0,ROUNDUP(X8/前提条件!$D$27,0))</f>
        <v/>
      </c>
      <c r="Y20" s="12">
        <f>IF(Y3&lt;前提条件!$D$29,0,ROUNDUP(Y8/前提条件!$D$27,0))</f>
        <v/>
      </c>
      <c r="Z20" s="12">
        <f>IF(Z3&lt;前提条件!$D$29,0,ROUNDUP(Z8/前提条件!$D$27,0))</f>
        <v/>
      </c>
      <c r="AA20" s="12">
        <f>IF(AA3&lt;前提条件!$D$29,0,ROUNDUP(AA8/前提条件!$D$27,0))</f>
        <v/>
      </c>
      <c r="AB20" s="12">
        <f>IF(AB3&lt;前提条件!$D$29,0,ROUNDUP(AB8/前提条件!$D$27,0))</f>
        <v/>
      </c>
      <c r="AC20" s="12">
        <f>IF(AC3&lt;前提条件!$D$29,0,ROUNDUP(AC8/前提条件!$D$27,0))</f>
        <v/>
      </c>
      <c r="AD20" s="12">
        <f>IF(AD3&lt;前提条件!$D$29,0,ROUNDUP(AD8/前提条件!$D$27,0))</f>
        <v/>
      </c>
      <c r="AE20" s="12">
        <f>IF(AE3&lt;前提条件!$D$29,0,ROUNDUP(AE8/前提条件!$D$27,0))</f>
        <v/>
      </c>
      <c r="AF20" s="12">
        <f>IF(AF3&lt;前提条件!$D$29,0,ROUNDUP(AF8/前提条件!$D$27,0))</f>
        <v/>
      </c>
      <c r="AG20" s="12">
        <f>IF(AG3&lt;前提条件!$D$29,0,ROUNDUP(AG8/前提条件!$D$27,0))</f>
        <v/>
      </c>
      <c r="AH20" s="12">
        <f>IF(AH3&lt;前提条件!$D$29,0,ROUNDUP(AH8/前提条件!$D$27,0))</f>
        <v/>
      </c>
      <c r="AI20" s="12">
        <f>IF(AI3&lt;前提条件!$D$29,0,ROUNDUP(AI8/前提条件!$D$27,0))</f>
        <v/>
      </c>
      <c r="AJ20" s="12">
        <f>IF(AJ3&lt;前提条件!$D$29,0,ROUNDUP(AJ8/前提条件!$D$27,0))</f>
        <v/>
      </c>
      <c r="AK20" s="12">
        <f>IF(AK3&lt;前提条件!$D$29,0,ROUNDUP(AK8/前提条件!$D$27,0))</f>
        <v/>
      </c>
      <c r="AL20" s="12">
        <f>IF(AL3&lt;前提条件!$D$29,0,ROUNDUP(AL8/前提条件!$D$27,0))</f>
        <v/>
      </c>
      <c r="AM20" s="12">
        <f>IF(AM3&lt;前提条件!$D$29,0,ROUNDUP(AM8/前提条件!$D$27,0))</f>
        <v/>
      </c>
      <c r="AN20" s="12">
        <f>IF(AN3&lt;前提条件!$D$29,0,ROUNDUP(AN8/前提条件!$D$27,0))</f>
        <v/>
      </c>
      <c r="AO20" s="12">
        <f>IF(AO3&lt;前提条件!$D$29,0,ROUNDUP(AO8/前提条件!$D$27,0))</f>
        <v/>
      </c>
      <c r="AP20" s="12">
        <f>IF(AP3&lt;前提条件!$D$29,0,ROUNDUP(AP8/前提条件!$D$27,0))</f>
        <v/>
      </c>
      <c r="AQ20" s="12">
        <f>IF(AQ3&lt;前提条件!$D$29,0,ROUNDUP(AQ8/前提条件!$D$27,0))</f>
        <v/>
      </c>
      <c r="AR20" s="12">
        <f>IF(AR3&lt;前提条件!$D$29,0,ROUNDUP(AR8/前提条件!$D$27,0))</f>
        <v/>
      </c>
      <c r="AS20" s="12">
        <f>IF(AS3&lt;前提条件!$D$29,0,ROUNDUP(AS8/前提条件!$D$27,0))</f>
        <v/>
      </c>
      <c r="AT20" s="12">
        <f>IF(AT3&lt;前提条件!$D$29,0,ROUNDUP(AT8/前提条件!$D$27,0))</f>
        <v/>
      </c>
      <c r="AU20" s="12">
        <f>IF(AU3&lt;前提条件!$D$29,0,ROUNDUP(AU8/前提条件!$D$27,0))</f>
        <v/>
      </c>
      <c r="AV20" s="12">
        <f>IF(AV3&lt;前提条件!$D$29,0,ROUNDUP(AV8/前提条件!$D$27,0))</f>
        <v/>
      </c>
      <c r="AW20" s="12">
        <f>IF(AW3&lt;前提条件!$D$29,0,ROUNDUP(AW8/前提条件!$D$27,0))</f>
        <v/>
      </c>
      <c r="AX20" s="12">
        <f>IF(AX3&lt;前提条件!$D$29,0,ROUNDUP(AX8/前提条件!$D$27,0))</f>
        <v/>
      </c>
      <c r="AY20" s="12">
        <f>IF(AY3&lt;前提条件!$D$29,0,ROUNDUP(AY8/前提条件!$D$27,0))</f>
        <v/>
      </c>
      <c r="AZ20" s="12">
        <f>IF(AZ3&lt;前提条件!$D$29,0,ROUNDUP(AZ8/前提条件!$D$27,0))</f>
        <v/>
      </c>
      <c r="BA20" s="12">
        <f>IF(BA3&lt;前提条件!$D$29,0,ROUNDUP(BA8/前提条件!$D$27,0))</f>
        <v/>
      </c>
      <c r="BB20" s="12">
        <f>IF(BB3&lt;前提条件!$D$29,0,ROUNDUP(BB8/前提条件!$D$27,0))</f>
        <v/>
      </c>
      <c r="BC20" s="12">
        <f>IF(BC3&lt;前提条件!$D$29,0,ROUNDUP(BC8/前提条件!$D$27,0))</f>
        <v/>
      </c>
      <c r="BD20" s="12">
        <f>IF(BD3&lt;前提条件!$D$29,0,ROUNDUP(BD8/前提条件!$D$27,0))</f>
        <v/>
      </c>
      <c r="BE20" s="12">
        <f>IF(BE3&lt;前提条件!$D$29,0,ROUNDUP(BE8/前提条件!$D$27,0))</f>
        <v/>
      </c>
      <c r="BF20" s="12">
        <f>IF(BF3&lt;前提条件!$D$29,0,ROUNDUP(BF8/前提条件!$D$27,0))</f>
        <v/>
      </c>
      <c r="BG20" s="12">
        <f>IF(BG3&lt;前提条件!$D$29,0,ROUNDUP(BG8/前提条件!$D$27,0))</f>
        <v/>
      </c>
      <c r="BH20" s="12">
        <f>IF(BH3&lt;前提条件!$D$29,0,ROUNDUP(BH8/前提条件!$D$27,0))</f>
        <v/>
      </c>
      <c r="BI20" s="12">
        <f>IF(BI3&lt;前提条件!$D$29,0,ROUNDUP(BI8/前提条件!$D$27,0))</f>
        <v/>
      </c>
      <c r="BJ20" s="12">
        <f>IF(BJ3&lt;前提条件!$D$29,0,ROUNDUP(BJ8/前提条件!$D$27,0))</f>
        <v/>
      </c>
    </row>
    <row r="21">
      <c r="A21" t="inlineStr">
        <is>
          <t>CS人件費</t>
        </is>
      </c>
      <c r="C21" s="13">
        <f>C20*前提条件!$D$28</f>
        <v/>
      </c>
      <c r="D21" s="13">
        <f>D20*前提条件!$D$28</f>
        <v/>
      </c>
      <c r="E21" s="13">
        <f>E20*前提条件!$D$28</f>
        <v/>
      </c>
      <c r="F21" s="13">
        <f>F20*前提条件!$D$28</f>
        <v/>
      </c>
      <c r="G21" s="13">
        <f>G20*前提条件!$D$28</f>
        <v/>
      </c>
      <c r="H21" s="13">
        <f>H20*前提条件!$D$28</f>
        <v/>
      </c>
      <c r="I21" s="13">
        <f>I20*前提条件!$D$28</f>
        <v/>
      </c>
      <c r="J21" s="13">
        <f>J20*前提条件!$D$28</f>
        <v/>
      </c>
      <c r="K21" s="13">
        <f>K20*前提条件!$D$28</f>
        <v/>
      </c>
      <c r="L21" s="13">
        <f>L20*前提条件!$D$28</f>
        <v/>
      </c>
      <c r="M21" s="13">
        <f>M20*前提条件!$D$28</f>
        <v/>
      </c>
      <c r="N21" s="13">
        <f>N20*前提条件!$D$28</f>
        <v/>
      </c>
      <c r="O21" s="13">
        <f>O20*前提条件!$D$28</f>
        <v/>
      </c>
      <c r="P21" s="13">
        <f>P20*前提条件!$D$28</f>
        <v/>
      </c>
      <c r="Q21" s="13">
        <f>Q20*前提条件!$D$28</f>
        <v/>
      </c>
      <c r="R21" s="13">
        <f>R20*前提条件!$D$28</f>
        <v/>
      </c>
      <c r="S21" s="13">
        <f>S20*前提条件!$D$28</f>
        <v/>
      </c>
      <c r="T21" s="13">
        <f>T20*前提条件!$D$28</f>
        <v/>
      </c>
      <c r="U21" s="13">
        <f>U20*前提条件!$D$28</f>
        <v/>
      </c>
      <c r="V21" s="13">
        <f>V20*前提条件!$D$28</f>
        <v/>
      </c>
      <c r="W21" s="13">
        <f>W20*前提条件!$D$28</f>
        <v/>
      </c>
      <c r="X21" s="13">
        <f>X20*前提条件!$D$28</f>
        <v/>
      </c>
      <c r="Y21" s="13">
        <f>Y20*前提条件!$D$28</f>
        <v/>
      </c>
      <c r="Z21" s="13">
        <f>Z20*前提条件!$D$28</f>
        <v/>
      </c>
      <c r="AA21" s="13">
        <f>AA20*前提条件!$D$28</f>
        <v/>
      </c>
      <c r="AB21" s="13">
        <f>AB20*前提条件!$D$28</f>
        <v/>
      </c>
      <c r="AC21" s="13">
        <f>AC20*前提条件!$D$28</f>
        <v/>
      </c>
      <c r="AD21" s="13">
        <f>AD20*前提条件!$D$28</f>
        <v/>
      </c>
      <c r="AE21" s="13">
        <f>AE20*前提条件!$D$28</f>
        <v/>
      </c>
      <c r="AF21" s="13">
        <f>AF20*前提条件!$D$28</f>
        <v/>
      </c>
      <c r="AG21" s="13">
        <f>AG20*前提条件!$D$28</f>
        <v/>
      </c>
      <c r="AH21" s="13">
        <f>AH20*前提条件!$D$28</f>
        <v/>
      </c>
      <c r="AI21" s="13">
        <f>AI20*前提条件!$D$28</f>
        <v/>
      </c>
      <c r="AJ21" s="13">
        <f>AJ20*前提条件!$D$28</f>
        <v/>
      </c>
      <c r="AK21" s="13">
        <f>AK20*前提条件!$D$28</f>
        <v/>
      </c>
      <c r="AL21" s="13">
        <f>AL20*前提条件!$D$28</f>
        <v/>
      </c>
      <c r="AM21" s="13">
        <f>AM20*前提条件!$D$28</f>
        <v/>
      </c>
      <c r="AN21" s="13">
        <f>AN20*前提条件!$D$28</f>
        <v/>
      </c>
      <c r="AO21" s="13">
        <f>AO20*前提条件!$D$28</f>
        <v/>
      </c>
      <c r="AP21" s="13">
        <f>AP20*前提条件!$D$28</f>
        <v/>
      </c>
      <c r="AQ21" s="13">
        <f>AQ20*前提条件!$D$28</f>
        <v/>
      </c>
      <c r="AR21" s="13">
        <f>AR20*前提条件!$D$28</f>
        <v/>
      </c>
      <c r="AS21" s="13">
        <f>AS20*前提条件!$D$28</f>
        <v/>
      </c>
      <c r="AT21" s="13">
        <f>AT20*前提条件!$D$28</f>
        <v/>
      </c>
      <c r="AU21" s="13">
        <f>AU20*前提条件!$D$28</f>
        <v/>
      </c>
      <c r="AV21" s="13">
        <f>AV20*前提条件!$D$28</f>
        <v/>
      </c>
      <c r="AW21" s="13">
        <f>AW20*前提条件!$D$28</f>
        <v/>
      </c>
      <c r="AX21" s="13">
        <f>AX20*前提条件!$D$28</f>
        <v/>
      </c>
      <c r="AY21" s="13">
        <f>AY20*前提条件!$D$28</f>
        <v/>
      </c>
      <c r="AZ21" s="13">
        <f>AZ20*前提条件!$D$28</f>
        <v/>
      </c>
      <c r="BA21" s="13">
        <f>BA20*前提条件!$D$28</f>
        <v/>
      </c>
      <c r="BB21" s="13">
        <f>BB20*前提条件!$D$28</f>
        <v/>
      </c>
      <c r="BC21" s="13">
        <f>BC20*前提条件!$D$28</f>
        <v/>
      </c>
      <c r="BD21" s="13">
        <f>BD20*前提条件!$D$28</f>
        <v/>
      </c>
      <c r="BE21" s="13">
        <f>BE20*前提条件!$D$28</f>
        <v/>
      </c>
      <c r="BF21" s="13">
        <f>BF20*前提条件!$D$28</f>
        <v/>
      </c>
      <c r="BG21" s="13">
        <f>BG20*前提条件!$D$28</f>
        <v/>
      </c>
      <c r="BH21" s="13">
        <f>BH20*前提条件!$D$28</f>
        <v/>
      </c>
      <c r="BI21" s="13">
        <f>BI20*前提条件!$D$28</f>
        <v/>
      </c>
      <c r="BJ21" s="13">
        <f>BJ20*前提条件!$D$28</f>
        <v/>
      </c>
    </row>
    <row r="22">
      <c r="A22" t="inlineStr">
        <is>
          <t>マーケティング費</t>
        </is>
      </c>
      <c r="C22" s="13">
        <f>IF(C4=1,前提条件!$D$30,IF(C4=2,前提条件!$D$31,前提条件!$D$32))</f>
        <v/>
      </c>
      <c r="D22" s="13">
        <f>IF(D4=1,前提条件!$D$30,IF(D4=2,前提条件!$D$31,前提条件!$D$32))</f>
        <v/>
      </c>
      <c r="E22" s="13">
        <f>IF(E4=1,前提条件!$D$30,IF(E4=2,前提条件!$D$31,前提条件!$D$32))</f>
        <v/>
      </c>
      <c r="F22" s="13">
        <f>IF(F4=1,前提条件!$D$30,IF(F4=2,前提条件!$D$31,前提条件!$D$32))</f>
        <v/>
      </c>
      <c r="G22" s="13">
        <f>IF(G4=1,前提条件!$D$30,IF(G4=2,前提条件!$D$31,前提条件!$D$32))</f>
        <v/>
      </c>
      <c r="H22" s="13">
        <f>IF(H4=1,前提条件!$D$30,IF(H4=2,前提条件!$D$31,前提条件!$D$32))</f>
        <v/>
      </c>
      <c r="I22" s="13">
        <f>IF(I4=1,前提条件!$D$30,IF(I4=2,前提条件!$D$31,前提条件!$D$32))</f>
        <v/>
      </c>
      <c r="J22" s="13">
        <f>IF(J4=1,前提条件!$D$30,IF(J4=2,前提条件!$D$31,前提条件!$D$32))</f>
        <v/>
      </c>
      <c r="K22" s="13">
        <f>IF(K4=1,前提条件!$D$30,IF(K4=2,前提条件!$D$31,前提条件!$D$32))</f>
        <v/>
      </c>
      <c r="L22" s="13">
        <f>IF(L4=1,前提条件!$D$30,IF(L4=2,前提条件!$D$31,前提条件!$D$32))</f>
        <v/>
      </c>
      <c r="M22" s="13">
        <f>IF(M4=1,前提条件!$D$30,IF(M4=2,前提条件!$D$31,前提条件!$D$32))</f>
        <v/>
      </c>
      <c r="N22" s="13">
        <f>IF(N4=1,前提条件!$D$30,IF(N4=2,前提条件!$D$31,前提条件!$D$32))</f>
        <v/>
      </c>
      <c r="O22" s="13">
        <f>IF(O4=1,前提条件!$D$30,IF(O4=2,前提条件!$D$31,前提条件!$D$32))</f>
        <v/>
      </c>
      <c r="P22" s="13">
        <f>IF(P4=1,前提条件!$D$30,IF(P4=2,前提条件!$D$31,前提条件!$D$32))</f>
        <v/>
      </c>
      <c r="Q22" s="13">
        <f>IF(Q4=1,前提条件!$D$30,IF(Q4=2,前提条件!$D$31,前提条件!$D$32))</f>
        <v/>
      </c>
      <c r="R22" s="13">
        <f>IF(R4=1,前提条件!$D$30,IF(R4=2,前提条件!$D$31,前提条件!$D$32))</f>
        <v/>
      </c>
      <c r="S22" s="13">
        <f>IF(S4=1,前提条件!$D$30,IF(S4=2,前提条件!$D$31,前提条件!$D$32))</f>
        <v/>
      </c>
      <c r="T22" s="13">
        <f>IF(T4=1,前提条件!$D$30,IF(T4=2,前提条件!$D$31,前提条件!$D$32))</f>
        <v/>
      </c>
      <c r="U22" s="13">
        <f>IF(U4=1,前提条件!$D$30,IF(U4=2,前提条件!$D$31,前提条件!$D$32))</f>
        <v/>
      </c>
      <c r="V22" s="13">
        <f>IF(V4=1,前提条件!$D$30,IF(V4=2,前提条件!$D$31,前提条件!$D$32))</f>
        <v/>
      </c>
      <c r="W22" s="13">
        <f>IF(W4=1,前提条件!$D$30,IF(W4=2,前提条件!$D$31,前提条件!$D$32))</f>
        <v/>
      </c>
      <c r="X22" s="13">
        <f>IF(X4=1,前提条件!$D$30,IF(X4=2,前提条件!$D$31,前提条件!$D$32))</f>
        <v/>
      </c>
      <c r="Y22" s="13">
        <f>IF(Y4=1,前提条件!$D$30,IF(Y4=2,前提条件!$D$31,前提条件!$D$32))</f>
        <v/>
      </c>
      <c r="Z22" s="13">
        <f>IF(Z4=1,前提条件!$D$30,IF(Z4=2,前提条件!$D$31,前提条件!$D$32))</f>
        <v/>
      </c>
      <c r="AA22" s="13">
        <f>IF(AA4=1,前提条件!$D$30,IF(AA4=2,前提条件!$D$31,前提条件!$D$32))</f>
        <v/>
      </c>
      <c r="AB22" s="13">
        <f>IF(AB4=1,前提条件!$D$30,IF(AB4=2,前提条件!$D$31,前提条件!$D$32))</f>
        <v/>
      </c>
      <c r="AC22" s="13">
        <f>IF(AC4=1,前提条件!$D$30,IF(AC4=2,前提条件!$D$31,前提条件!$D$32))</f>
        <v/>
      </c>
      <c r="AD22" s="13">
        <f>IF(AD4=1,前提条件!$D$30,IF(AD4=2,前提条件!$D$31,前提条件!$D$32))</f>
        <v/>
      </c>
      <c r="AE22" s="13">
        <f>IF(AE4=1,前提条件!$D$30,IF(AE4=2,前提条件!$D$31,前提条件!$D$32))</f>
        <v/>
      </c>
      <c r="AF22" s="13">
        <f>IF(AF4=1,前提条件!$D$30,IF(AF4=2,前提条件!$D$31,前提条件!$D$32))</f>
        <v/>
      </c>
      <c r="AG22" s="13">
        <f>IF(AG4=1,前提条件!$D$30,IF(AG4=2,前提条件!$D$31,前提条件!$D$32))</f>
        <v/>
      </c>
      <c r="AH22" s="13">
        <f>IF(AH4=1,前提条件!$D$30,IF(AH4=2,前提条件!$D$31,前提条件!$D$32))</f>
        <v/>
      </c>
      <c r="AI22" s="13">
        <f>IF(AI4=1,前提条件!$D$30,IF(AI4=2,前提条件!$D$31,前提条件!$D$32))</f>
        <v/>
      </c>
      <c r="AJ22" s="13">
        <f>IF(AJ4=1,前提条件!$D$30,IF(AJ4=2,前提条件!$D$31,前提条件!$D$32))</f>
        <v/>
      </c>
      <c r="AK22" s="13">
        <f>IF(AK4=1,前提条件!$D$30,IF(AK4=2,前提条件!$D$31,前提条件!$D$32))</f>
        <v/>
      </c>
      <c r="AL22" s="13">
        <f>IF(AL4=1,前提条件!$D$30,IF(AL4=2,前提条件!$D$31,前提条件!$D$32))</f>
        <v/>
      </c>
      <c r="AM22" s="13">
        <f>IF(AM4=1,前提条件!$D$30,IF(AM4=2,前提条件!$D$31,前提条件!$D$32))</f>
        <v/>
      </c>
      <c r="AN22" s="13">
        <f>IF(AN4=1,前提条件!$D$30,IF(AN4=2,前提条件!$D$31,前提条件!$D$32))</f>
        <v/>
      </c>
      <c r="AO22" s="13">
        <f>IF(AO4=1,前提条件!$D$30,IF(AO4=2,前提条件!$D$31,前提条件!$D$32))</f>
        <v/>
      </c>
      <c r="AP22" s="13">
        <f>IF(AP4=1,前提条件!$D$30,IF(AP4=2,前提条件!$D$31,前提条件!$D$32))</f>
        <v/>
      </c>
      <c r="AQ22" s="13">
        <f>IF(AQ4=1,前提条件!$D$30,IF(AQ4=2,前提条件!$D$31,前提条件!$D$32))</f>
        <v/>
      </c>
      <c r="AR22" s="13">
        <f>IF(AR4=1,前提条件!$D$30,IF(AR4=2,前提条件!$D$31,前提条件!$D$32))</f>
        <v/>
      </c>
      <c r="AS22" s="13">
        <f>IF(AS4=1,前提条件!$D$30,IF(AS4=2,前提条件!$D$31,前提条件!$D$32))</f>
        <v/>
      </c>
      <c r="AT22" s="13">
        <f>IF(AT4=1,前提条件!$D$30,IF(AT4=2,前提条件!$D$31,前提条件!$D$32))</f>
        <v/>
      </c>
      <c r="AU22" s="13">
        <f>IF(AU4=1,前提条件!$D$30,IF(AU4=2,前提条件!$D$31,前提条件!$D$32))</f>
        <v/>
      </c>
      <c r="AV22" s="13">
        <f>IF(AV4=1,前提条件!$D$30,IF(AV4=2,前提条件!$D$31,前提条件!$D$32))</f>
        <v/>
      </c>
      <c r="AW22" s="13">
        <f>IF(AW4=1,前提条件!$D$30,IF(AW4=2,前提条件!$D$31,前提条件!$D$32))</f>
        <v/>
      </c>
      <c r="AX22" s="13">
        <f>IF(AX4=1,前提条件!$D$30,IF(AX4=2,前提条件!$D$31,前提条件!$D$32))</f>
        <v/>
      </c>
      <c r="AY22" s="13">
        <f>IF(AY4=1,前提条件!$D$30,IF(AY4=2,前提条件!$D$31,前提条件!$D$32))</f>
        <v/>
      </c>
      <c r="AZ22" s="13">
        <f>IF(AZ4=1,前提条件!$D$30,IF(AZ4=2,前提条件!$D$31,前提条件!$D$32))</f>
        <v/>
      </c>
      <c r="BA22" s="13">
        <f>IF(BA4=1,前提条件!$D$30,IF(BA4=2,前提条件!$D$31,前提条件!$D$32))</f>
        <v/>
      </c>
      <c r="BB22" s="13">
        <f>IF(BB4=1,前提条件!$D$30,IF(BB4=2,前提条件!$D$31,前提条件!$D$32))</f>
        <v/>
      </c>
      <c r="BC22" s="13">
        <f>IF(BC4=1,前提条件!$D$30,IF(BC4=2,前提条件!$D$31,前提条件!$D$32))</f>
        <v/>
      </c>
      <c r="BD22" s="13">
        <f>IF(BD4=1,前提条件!$D$30,IF(BD4=2,前提条件!$D$31,前提条件!$D$32))</f>
        <v/>
      </c>
      <c r="BE22" s="13">
        <f>IF(BE4=1,前提条件!$D$30,IF(BE4=2,前提条件!$D$31,前提条件!$D$32))</f>
        <v/>
      </c>
      <c r="BF22" s="13">
        <f>IF(BF4=1,前提条件!$D$30,IF(BF4=2,前提条件!$D$31,前提条件!$D$32))</f>
        <v/>
      </c>
      <c r="BG22" s="13">
        <f>IF(BG4=1,前提条件!$D$30,IF(BG4=2,前提条件!$D$31,前提条件!$D$32))</f>
        <v/>
      </c>
      <c r="BH22" s="13">
        <f>IF(BH4=1,前提条件!$D$30,IF(BH4=2,前提条件!$D$31,前提条件!$D$32))</f>
        <v/>
      </c>
      <c r="BI22" s="13">
        <f>IF(BI4=1,前提条件!$D$30,IF(BI4=2,前提条件!$D$31,前提条件!$D$32))</f>
        <v/>
      </c>
      <c r="BJ22" s="13">
        <f>IF(BJ4=1,前提条件!$D$30,IF(BJ4=2,前提条件!$D$31,前提条件!$D$32))</f>
        <v/>
      </c>
    </row>
    <row r="23">
      <c r="A23" t="inlineStr">
        <is>
          <t>家賃</t>
        </is>
      </c>
      <c r="C23" s="13">
        <f>IF(C4=1,前提条件!$D$33,IF(C4=2,前提条件!$D$34,前提条件!$D$35))</f>
        <v/>
      </c>
      <c r="D23" s="13">
        <f>IF(D4=1,前提条件!$D$33,IF(D4=2,前提条件!$D$34,前提条件!$D$35))</f>
        <v/>
      </c>
      <c r="E23" s="13">
        <f>IF(E4=1,前提条件!$D$33,IF(E4=2,前提条件!$D$34,前提条件!$D$35))</f>
        <v/>
      </c>
      <c r="F23" s="13">
        <f>IF(F4=1,前提条件!$D$33,IF(F4=2,前提条件!$D$34,前提条件!$D$35))</f>
        <v/>
      </c>
      <c r="G23" s="13">
        <f>IF(G4=1,前提条件!$D$33,IF(G4=2,前提条件!$D$34,前提条件!$D$35))</f>
        <v/>
      </c>
      <c r="H23" s="13">
        <f>IF(H4=1,前提条件!$D$33,IF(H4=2,前提条件!$D$34,前提条件!$D$35))</f>
        <v/>
      </c>
      <c r="I23" s="13">
        <f>IF(I4=1,前提条件!$D$33,IF(I4=2,前提条件!$D$34,前提条件!$D$35))</f>
        <v/>
      </c>
      <c r="J23" s="13">
        <f>IF(J4=1,前提条件!$D$33,IF(J4=2,前提条件!$D$34,前提条件!$D$35))</f>
        <v/>
      </c>
      <c r="K23" s="13">
        <f>IF(K4=1,前提条件!$D$33,IF(K4=2,前提条件!$D$34,前提条件!$D$35))</f>
        <v/>
      </c>
      <c r="L23" s="13">
        <f>IF(L4=1,前提条件!$D$33,IF(L4=2,前提条件!$D$34,前提条件!$D$35))</f>
        <v/>
      </c>
      <c r="M23" s="13">
        <f>IF(M4=1,前提条件!$D$33,IF(M4=2,前提条件!$D$34,前提条件!$D$35))</f>
        <v/>
      </c>
      <c r="N23" s="13">
        <f>IF(N4=1,前提条件!$D$33,IF(N4=2,前提条件!$D$34,前提条件!$D$35))</f>
        <v/>
      </c>
      <c r="O23" s="13">
        <f>IF(O4=1,前提条件!$D$33,IF(O4=2,前提条件!$D$34,前提条件!$D$35))</f>
        <v/>
      </c>
      <c r="P23" s="13">
        <f>IF(P4=1,前提条件!$D$33,IF(P4=2,前提条件!$D$34,前提条件!$D$35))</f>
        <v/>
      </c>
      <c r="Q23" s="13">
        <f>IF(Q4=1,前提条件!$D$33,IF(Q4=2,前提条件!$D$34,前提条件!$D$35))</f>
        <v/>
      </c>
      <c r="R23" s="13">
        <f>IF(R4=1,前提条件!$D$33,IF(R4=2,前提条件!$D$34,前提条件!$D$35))</f>
        <v/>
      </c>
      <c r="S23" s="13">
        <f>IF(S4=1,前提条件!$D$33,IF(S4=2,前提条件!$D$34,前提条件!$D$35))</f>
        <v/>
      </c>
      <c r="T23" s="13">
        <f>IF(T4=1,前提条件!$D$33,IF(T4=2,前提条件!$D$34,前提条件!$D$35))</f>
        <v/>
      </c>
      <c r="U23" s="13">
        <f>IF(U4=1,前提条件!$D$33,IF(U4=2,前提条件!$D$34,前提条件!$D$35))</f>
        <v/>
      </c>
      <c r="V23" s="13">
        <f>IF(V4=1,前提条件!$D$33,IF(V4=2,前提条件!$D$34,前提条件!$D$35))</f>
        <v/>
      </c>
      <c r="W23" s="13">
        <f>IF(W4=1,前提条件!$D$33,IF(W4=2,前提条件!$D$34,前提条件!$D$35))</f>
        <v/>
      </c>
      <c r="X23" s="13">
        <f>IF(X4=1,前提条件!$D$33,IF(X4=2,前提条件!$D$34,前提条件!$D$35))</f>
        <v/>
      </c>
      <c r="Y23" s="13">
        <f>IF(Y4=1,前提条件!$D$33,IF(Y4=2,前提条件!$D$34,前提条件!$D$35))</f>
        <v/>
      </c>
      <c r="Z23" s="13">
        <f>IF(Z4=1,前提条件!$D$33,IF(Z4=2,前提条件!$D$34,前提条件!$D$35))</f>
        <v/>
      </c>
      <c r="AA23" s="13">
        <f>IF(AA4=1,前提条件!$D$33,IF(AA4=2,前提条件!$D$34,前提条件!$D$35))</f>
        <v/>
      </c>
      <c r="AB23" s="13">
        <f>IF(AB4=1,前提条件!$D$33,IF(AB4=2,前提条件!$D$34,前提条件!$D$35))</f>
        <v/>
      </c>
      <c r="AC23" s="13">
        <f>IF(AC4=1,前提条件!$D$33,IF(AC4=2,前提条件!$D$34,前提条件!$D$35))</f>
        <v/>
      </c>
      <c r="AD23" s="13">
        <f>IF(AD4=1,前提条件!$D$33,IF(AD4=2,前提条件!$D$34,前提条件!$D$35))</f>
        <v/>
      </c>
      <c r="AE23" s="13">
        <f>IF(AE4=1,前提条件!$D$33,IF(AE4=2,前提条件!$D$34,前提条件!$D$35))</f>
        <v/>
      </c>
      <c r="AF23" s="13">
        <f>IF(AF4=1,前提条件!$D$33,IF(AF4=2,前提条件!$D$34,前提条件!$D$35))</f>
        <v/>
      </c>
      <c r="AG23" s="13">
        <f>IF(AG4=1,前提条件!$D$33,IF(AG4=2,前提条件!$D$34,前提条件!$D$35))</f>
        <v/>
      </c>
      <c r="AH23" s="13">
        <f>IF(AH4=1,前提条件!$D$33,IF(AH4=2,前提条件!$D$34,前提条件!$D$35))</f>
        <v/>
      </c>
      <c r="AI23" s="13">
        <f>IF(AI4=1,前提条件!$D$33,IF(AI4=2,前提条件!$D$34,前提条件!$D$35))</f>
        <v/>
      </c>
      <c r="AJ23" s="13">
        <f>IF(AJ4=1,前提条件!$D$33,IF(AJ4=2,前提条件!$D$34,前提条件!$D$35))</f>
        <v/>
      </c>
      <c r="AK23" s="13">
        <f>IF(AK4=1,前提条件!$D$33,IF(AK4=2,前提条件!$D$34,前提条件!$D$35))</f>
        <v/>
      </c>
      <c r="AL23" s="13">
        <f>IF(AL4=1,前提条件!$D$33,IF(AL4=2,前提条件!$D$34,前提条件!$D$35))</f>
        <v/>
      </c>
      <c r="AM23" s="13">
        <f>IF(AM4=1,前提条件!$D$33,IF(AM4=2,前提条件!$D$34,前提条件!$D$35))</f>
        <v/>
      </c>
      <c r="AN23" s="13">
        <f>IF(AN4=1,前提条件!$D$33,IF(AN4=2,前提条件!$D$34,前提条件!$D$35))</f>
        <v/>
      </c>
      <c r="AO23" s="13">
        <f>IF(AO4=1,前提条件!$D$33,IF(AO4=2,前提条件!$D$34,前提条件!$D$35))</f>
        <v/>
      </c>
      <c r="AP23" s="13">
        <f>IF(AP4=1,前提条件!$D$33,IF(AP4=2,前提条件!$D$34,前提条件!$D$35))</f>
        <v/>
      </c>
      <c r="AQ23" s="13">
        <f>IF(AQ4=1,前提条件!$D$33,IF(AQ4=2,前提条件!$D$34,前提条件!$D$35))</f>
        <v/>
      </c>
      <c r="AR23" s="13">
        <f>IF(AR4=1,前提条件!$D$33,IF(AR4=2,前提条件!$D$34,前提条件!$D$35))</f>
        <v/>
      </c>
      <c r="AS23" s="13">
        <f>IF(AS4=1,前提条件!$D$33,IF(AS4=2,前提条件!$D$34,前提条件!$D$35))</f>
        <v/>
      </c>
      <c r="AT23" s="13">
        <f>IF(AT4=1,前提条件!$D$33,IF(AT4=2,前提条件!$D$34,前提条件!$D$35))</f>
        <v/>
      </c>
      <c r="AU23" s="13">
        <f>IF(AU4=1,前提条件!$D$33,IF(AU4=2,前提条件!$D$34,前提条件!$D$35))</f>
        <v/>
      </c>
      <c r="AV23" s="13">
        <f>IF(AV4=1,前提条件!$D$33,IF(AV4=2,前提条件!$D$34,前提条件!$D$35))</f>
        <v/>
      </c>
      <c r="AW23" s="13">
        <f>IF(AW4=1,前提条件!$D$33,IF(AW4=2,前提条件!$D$34,前提条件!$D$35))</f>
        <v/>
      </c>
      <c r="AX23" s="13">
        <f>IF(AX4=1,前提条件!$D$33,IF(AX4=2,前提条件!$D$34,前提条件!$D$35))</f>
        <v/>
      </c>
      <c r="AY23" s="13">
        <f>IF(AY4=1,前提条件!$D$33,IF(AY4=2,前提条件!$D$34,前提条件!$D$35))</f>
        <v/>
      </c>
      <c r="AZ23" s="13">
        <f>IF(AZ4=1,前提条件!$D$33,IF(AZ4=2,前提条件!$D$34,前提条件!$D$35))</f>
        <v/>
      </c>
      <c r="BA23" s="13">
        <f>IF(BA4=1,前提条件!$D$33,IF(BA4=2,前提条件!$D$34,前提条件!$D$35))</f>
        <v/>
      </c>
      <c r="BB23" s="13">
        <f>IF(BB4=1,前提条件!$D$33,IF(BB4=2,前提条件!$D$34,前提条件!$D$35))</f>
        <v/>
      </c>
      <c r="BC23" s="13">
        <f>IF(BC4=1,前提条件!$D$33,IF(BC4=2,前提条件!$D$34,前提条件!$D$35))</f>
        <v/>
      </c>
      <c r="BD23" s="13">
        <f>IF(BD4=1,前提条件!$D$33,IF(BD4=2,前提条件!$D$34,前提条件!$D$35))</f>
        <v/>
      </c>
      <c r="BE23" s="13">
        <f>IF(BE4=1,前提条件!$D$33,IF(BE4=2,前提条件!$D$34,前提条件!$D$35))</f>
        <v/>
      </c>
      <c r="BF23" s="13">
        <f>IF(BF4=1,前提条件!$D$33,IF(BF4=2,前提条件!$D$34,前提条件!$D$35))</f>
        <v/>
      </c>
      <c r="BG23" s="13">
        <f>IF(BG4=1,前提条件!$D$33,IF(BG4=2,前提条件!$D$34,前提条件!$D$35))</f>
        <v/>
      </c>
      <c r="BH23" s="13">
        <f>IF(BH4=1,前提条件!$D$33,IF(BH4=2,前提条件!$D$34,前提条件!$D$35))</f>
        <v/>
      </c>
      <c r="BI23" s="13">
        <f>IF(BI4=1,前提条件!$D$33,IF(BI4=2,前提条件!$D$34,前提条件!$D$35))</f>
        <v/>
      </c>
      <c r="BJ23" s="13">
        <f>IF(BJ4=1,前提条件!$D$33,IF(BJ4=2,前提条件!$D$34,前提条件!$D$35))</f>
        <v/>
      </c>
    </row>
    <row r="24">
      <c r="A24" t="inlineStr">
        <is>
          <t>法務・会計・雑費</t>
        </is>
      </c>
      <c r="C24" s="13">
        <f>前提条件!$D$36</f>
        <v/>
      </c>
      <c r="D24" s="13">
        <f>前提条件!$D$36</f>
        <v/>
      </c>
      <c r="E24" s="13">
        <f>前提条件!$D$36</f>
        <v/>
      </c>
      <c r="F24" s="13">
        <f>前提条件!$D$36</f>
        <v/>
      </c>
      <c r="G24" s="13">
        <f>前提条件!$D$36</f>
        <v/>
      </c>
      <c r="H24" s="13">
        <f>前提条件!$D$36</f>
        <v/>
      </c>
      <c r="I24" s="13">
        <f>前提条件!$D$36</f>
        <v/>
      </c>
      <c r="J24" s="13">
        <f>前提条件!$D$36</f>
        <v/>
      </c>
      <c r="K24" s="13">
        <f>前提条件!$D$36</f>
        <v/>
      </c>
      <c r="L24" s="13">
        <f>前提条件!$D$36</f>
        <v/>
      </c>
      <c r="M24" s="13">
        <f>前提条件!$D$36</f>
        <v/>
      </c>
      <c r="N24" s="13">
        <f>前提条件!$D$36</f>
        <v/>
      </c>
      <c r="O24" s="13">
        <f>前提条件!$D$36</f>
        <v/>
      </c>
      <c r="P24" s="13">
        <f>前提条件!$D$36</f>
        <v/>
      </c>
      <c r="Q24" s="13">
        <f>前提条件!$D$36</f>
        <v/>
      </c>
      <c r="R24" s="13">
        <f>前提条件!$D$36</f>
        <v/>
      </c>
      <c r="S24" s="13">
        <f>前提条件!$D$36</f>
        <v/>
      </c>
      <c r="T24" s="13">
        <f>前提条件!$D$36</f>
        <v/>
      </c>
      <c r="U24" s="13">
        <f>前提条件!$D$36</f>
        <v/>
      </c>
      <c r="V24" s="13">
        <f>前提条件!$D$36</f>
        <v/>
      </c>
      <c r="W24" s="13">
        <f>前提条件!$D$36</f>
        <v/>
      </c>
      <c r="X24" s="13">
        <f>前提条件!$D$36</f>
        <v/>
      </c>
      <c r="Y24" s="13">
        <f>前提条件!$D$36</f>
        <v/>
      </c>
      <c r="Z24" s="13">
        <f>前提条件!$D$36</f>
        <v/>
      </c>
      <c r="AA24" s="13">
        <f>前提条件!$D$36</f>
        <v/>
      </c>
      <c r="AB24" s="13">
        <f>前提条件!$D$36</f>
        <v/>
      </c>
      <c r="AC24" s="13">
        <f>前提条件!$D$36</f>
        <v/>
      </c>
      <c r="AD24" s="13">
        <f>前提条件!$D$36</f>
        <v/>
      </c>
      <c r="AE24" s="13">
        <f>前提条件!$D$36</f>
        <v/>
      </c>
      <c r="AF24" s="13">
        <f>前提条件!$D$36</f>
        <v/>
      </c>
      <c r="AG24" s="13">
        <f>前提条件!$D$36</f>
        <v/>
      </c>
      <c r="AH24" s="13">
        <f>前提条件!$D$36</f>
        <v/>
      </c>
      <c r="AI24" s="13">
        <f>前提条件!$D$36</f>
        <v/>
      </c>
      <c r="AJ24" s="13">
        <f>前提条件!$D$36</f>
        <v/>
      </c>
      <c r="AK24" s="13">
        <f>前提条件!$D$36</f>
        <v/>
      </c>
      <c r="AL24" s="13">
        <f>前提条件!$D$36</f>
        <v/>
      </c>
      <c r="AM24" s="13">
        <f>前提条件!$D$36</f>
        <v/>
      </c>
      <c r="AN24" s="13">
        <f>前提条件!$D$36</f>
        <v/>
      </c>
      <c r="AO24" s="13">
        <f>前提条件!$D$36</f>
        <v/>
      </c>
      <c r="AP24" s="13">
        <f>前提条件!$D$36</f>
        <v/>
      </c>
      <c r="AQ24" s="13">
        <f>前提条件!$D$36</f>
        <v/>
      </c>
      <c r="AR24" s="13">
        <f>前提条件!$D$36</f>
        <v/>
      </c>
      <c r="AS24" s="13">
        <f>前提条件!$D$36</f>
        <v/>
      </c>
      <c r="AT24" s="13">
        <f>前提条件!$D$36</f>
        <v/>
      </c>
      <c r="AU24" s="13">
        <f>前提条件!$D$36</f>
        <v/>
      </c>
      <c r="AV24" s="13">
        <f>前提条件!$D$36</f>
        <v/>
      </c>
      <c r="AW24" s="13">
        <f>前提条件!$D$36</f>
        <v/>
      </c>
      <c r="AX24" s="13">
        <f>前提条件!$D$36</f>
        <v/>
      </c>
      <c r="AY24" s="13">
        <f>前提条件!$D$36</f>
        <v/>
      </c>
      <c r="AZ24" s="13">
        <f>前提条件!$D$36</f>
        <v/>
      </c>
      <c r="BA24" s="13">
        <f>前提条件!$D$36</f>
        <v/>
      </c>
      <c r="BB24" s="13">
        <f>前提条件!$D$36</f>
        <v/>
      </c>
      <c r="BC24" s="13">
        <f>前提条件!$D$36</f>
        <v/>
      </c>
      <c r="BD24" s="13">
        <f>前提条件!$D$36</f>
        <v/>
      </c>
      <c r="BE24" s="13">
        <f>前提条件!$D$36</f>
        <v/>
      </c>
      <c r="BF24" s="13">
        <f>前提条件!$D$36</f>
        <v/>
      </c>
      <c r="BG24" s="13">
        <f>前提条件!$D$36</f>
        <v/>
      </c>
      <c r="BH24" s="13">
        <f>前提条件!$D$36</f>
        <v/>
      </c>
      <c r="BI24" s="13">
        <f>前提条件!$D$36</f>
        <v/>
      </c>
      <c r="BJ24" s="13">
        <f>前提条件!$D$36</f>
        <v/>
      </c>
    </row>
    <row r="25">
      <c r="A25" s="5" t="inlineStr">
        <is>
          <t>費用合計</t>
        </is>
      </c>
      <c r="B25" s="5" t="n"/>
      <c r="C25" s="14">
        <f>C14+C15+C16+C17+C19+C21+C22+C23+C24</f>
        <v/>
      </c>
      <c r="D25" s="14">
        <f>D14+D15+D16+D17+D19+D21+D22+D23+D24</f>
        <v/>
      </c>
      <c r="E25" s="14">
        <f>E14+E15+E16+E17+E19+E21+E22+E23+E24</f>
        <v/>
      </c>
      <c r="F25" s="14">
        <f>F14+F15+F16+F17+F19+F21+F22+F23+F24</f>
        <v/>
      </c>
      <c r="G25" s="14">
        <f>G14+G15+G16+G17+G19+G21+G22+G23+G24</f>
        <v/>
      </c>
      <c r="H25" s="14">
        <f>H14+H15+H16+H17+H19+H21+H22+H23+H24</f>
        <v/>
      </c>
      <c r="I25" s="14">
        <f>I14+I15+I16+I17+I19+I21+I22+I23+I24</f>
        <v/>
      </c>
      <c r="J25" s="14">
        <f>J14+J15+J16+J17+J19+J21+J22+J23+J24</f>
        <v/>
      </c>
      <c r="K25" s="14">
        <f>K14+K15+K16+K17+K19+K21+K22+K23+K24</f>
        <v/>
      </c>
      <c r="L25" s="14">
        <f>L14+L15+L16+L17+L19+L21+L22+L23+L24</f>
        <v/>
      </c>
      <c r="M25" s="14">
        <f>M14+M15+M16+M17+M19+M21+M22+M23+M24</f>
        <v/>
      </c>
      <c r="N25" s="14">
        <f>N14+N15+N16+N17+N19+N21+N22+N23+N24</f>
        <v/>
      </c>
      <c r="O25" s="14">
        <f>O14+O15+O16+O17+O19+O21+O22+O23+O24</f>
        <v/>
      </c>
      <c r="P25" s="14">
        <f>P14+P15+P16+P17+P19+P21+P22+P23+P24</f>
        <v/>
      </c>
      <c r="Q25" s="14">
        <f>Q14+Q15+Q16+Q17+Q19+Q21+Q22+Q23+Q24</f>
        <v/>
      </c>
      <c r="R25" s="14">
        <f>R14+R15+R16+R17+R19+R21+R22+R23+R24</f>
        <v/>
      </c>
      <c r="S25" s="14">
        <f>S14+S15+S16+S17+S19+S21+S22+S23+S24</f>
        <v/>
      </c>
      <c r="T25" s="14">
        <f>T14+T15+T16+T17+T19+T21+T22+T23+T24</f>
        <v/>
      </c>
      <c r="U25" s="14">
        <f>U14+U15+U16+U17+U19+U21+U22+U23+U24</f>
        <v/>
      </c>
      <c r="V25" s="14">
        <f>V14+V15+V16+V17+V19+V21+V22+V23+V24</f>
        <v/>
      </c>
      <c r="W25" s="14">
        <f>W14+W15+W16+W17+W19+W21+W22+W23+W24</f>
        <v/>
      </c>
      <c r="X25" s="14">
        <f>X14+X15+X16+X17+X19+X21+X22+X23+X24</f>
        <v/>
      </c>
      <c r="Y25" s="14">
        <f>Y14+Y15+Y16+Y17+Y19+Y21+Y22+Y23+Y24</f>
        <v/>
      </c>
      <c r="Z25" s="14">
        <f>Z14+Z15+Z16+Z17+Z19+Z21+Z22+Z23+Z24</f>
        <v/>
      </c>
      <c r="AA25" s="14">
        <f>AA14+AA15+AA16+AA17+AA19+AA21+AA22+AA23+AA24</f>
        <v/>
      </c>
      <c r="AB25" s="14">
        <f>AB14+AB15+AB16+AB17+AB19+AB21+AB22+AB23+AB24</f>
        <v/>
      </c>
      <c r="AC25" s="14">
        <f>AC14+AC15+AC16+AC17+AC19+AC21+AC22+AC23+AC24</f>
        <v/>
      </c>
      <c r="AD25" s="14">
        <f>AD14+AD15+AD16+AD17+AD19+AD21+AD22+AD23+AD24</f>
        <v/>
      </c>
      <c r="AE25" s="14">
        <f>AE14+AE15+AE16+AE17+AE19+AE21+AE22+AE23+AE24</f>
        <v/>
      </c>
      <c r="AF25" s="14">
        <f>AF14+AF15+AF16+AF17+AF19+AF21+AF22+AF23+AF24</f>
        <v/>
      </c>
      <c r="AG25" s="14">
        <f>AG14+AG15+AG16+AG17+AG19+AG21+AG22+AG23+AG24</f>
        <v/>
      </c>
      <c r="AH25" s="14">
        <f>AH14+AH15+AH16+AH17+AH19+AH21+AH22+AH23+AH24</f>
        <v/>
      </c>
      <c r="AI25" s="14">
        <f>AI14+AI15+AI16+AI17+AI19+AI21+AI22+AI23+AI24</f>
        <v/>
      </c>
      <c r="AJ25" s="14">
        <f>AJ14+AJ15+AJ16+AJ17+AJ19+AJ21+AJ22+AJ23+AJ24</f>
        <v/>
      </c>
      <c r="AK25" s="14">
        <f>AK14+AK15+AK16+AK17+AK19+AK21+AK22+AK23+AK24</f>
        <v/>
      </c>
      <c r="AL25" s="14">
        <f>AL14+AL15+AL16+AL17+AL19+AL21+AL22+AL23+AL24</f>
        <v/>
      </c>
      <c r="AM25" s="14">
        <f>AM14+AM15+AM16+AM17+AM19+AM21+AM22+AM23+AM24</f>
        <v/>
      </c>
      <c r="AN25" s="14">
        <f>AN14+AN15+AN16+AN17+AN19+AN21+AN22+AN23+AN24</f>
        <v/>
      </c>
      <c r="AO25" s="14">
        <f>AO14+AO15+AO16+AO17+AO19+AO21+AO22+AO23+AO24</f>
        <v/>
      </c>
      <c r="AP25" s="14">
        <f>AP14+AP15+AP16+AP17+AP19+AP21+AP22+AP23+AP24</f>
        <v/>
      </c>
      <c r="AQ25" s="14">
        <f>AQ14+AQ15+AQ16+AQ17+AQ19+AQ21+AQ22+AQ23+AQ24</f>
        <v/>
      </c>
      <c r="AR25" s="14">
        <f>AR14+AR15+AR16+AR17+AR19+AR21+AR22+AR23+AR24</f>
        <v/>
      </c>
      <c r="AS25" s="14">
        <f>AS14+AS15+AS16+AS17+AS19+AS21+AS22+AS23+AS24</f>
        <v/>
      </c>
      <c r="AT25" s="14">
        <f>AT14+AT15+AT16+AT17+AT19+AT21+AT22+AT23+AT24</f>
        <v/>
      </c>
      <c r="AU25" s="14">
        <f>AU14+AU15+AU16+AU17+AU19+AU21+AU22+AU23+AU24</f>
        <v/>
      </c>
      <c r="AV25" s="14">
        <f>AV14+AV15+AV16+AV17+AV19+AV21+AV22+AV23+AV24</f>
        <v/>
      </c>
      <c r="AW25" s="14">
        <f>AW14+AW15+AW16+AW17+AW19+AW21+AW22+AW23+AW24</f>
        <v/>
      </c>
      <c r="AX25" s="14">
        <f>AX14+AX15+AX16+AX17+AX19+AX21+AX22+AX23+AX24</f>
        <v/>
      </c>
      <c r="AY25" s="14">
        <f>AY14+AY15+AY16+AY17+AY19+AY21+AY22+AY23+AY24</f>
        <v/>
      </c>
      <c r="AZ25" s="14">
        <f>AZ14+AZ15+AZ16+AZ17+AZ19+AZ21+AZ22+AZ23+AZ24</f>
        <v/>
      </c>
      <c r="BA25" s="14">
        <f>BA14+BA15+BA16+BA17+BA19+BA21+BA22+BA23+BA24</f>
        <v/>
      </c>
      <c r="BB25" s="14">
        <f>BB14+BB15+BB16+BB17+BB19+BB21+BB22+BB23+BB24</f>
        <v/>
      </c>
      <c r="BC25" s="14">
        <f>BC14+BC15+BC16+BC17+BC19+BC21+BC22+BC23+BC24</f>
        <v/>
      </c>
      <c r="BD25" s="14">
        <f>BD14+BD15+BD16+BD17+BD19+BD21+BD22+BD23+BD24</f>
        <v/>
      </c>
      <c r="BE25" s="14">
        <f>BE14+BE15+BE16+BE17+BE19+BE21+BE22+BE23+BE24</f>
        <v/>
      </c>
      <c r="BF25" s="14">
        <f>BF14+BF15+BF16+BF17+BF19+BF21+BF22+BF23+BF24</f>
        <v/>
      </c>
      <c r="BG25" s="14">
        <f>BG14+BG15+BG16+BG17+BG19+BG21+BG22+BG23+BG24</f>
        <v/>
      </c>
      <c r="BH25" s="14">
        <f>BH14+BH15+BH16+BH17+BH19+BH21+BH22+BH23+BH24</f>
        <v/>
      </c>
      <c r="BI25" s="14">
        <f>BI14+BI15+BI16+BI17+BI19+BI21+BI22+BI23+BI24</f>
        <v/>
      </c>
      <c r="BJ25" s="13">
        <f>BJ14+BJ15+BJ16+BJ17+BJ19+BJ21+BJ22+BJ23+BJ24</f>
        <v/>
      </c>
    </row>
    <row r="26">
      <c r="A26" s="5" t="inlineStr">
        <is>
          <t>営業利益</t>
        </is>
      </c>
      <c r="B26" s="5" t="n"/>
      <c r="C26" s="14">
        <f>C13-C25</f>
        <v/>
      </c>
      <c r="D26" s="14">
        <f>D13-D25</f>
        <v/>
      </c>
      <c r="E26" s="14">
        <f>E13-E25</f>
        <v/>
      </c>
      <c r="F26" s="14">
        <f>F13-F25</f>
        <v/>
      </c>
      <c r="G26" s="14">
        <f>G13-G25</f>
        <v/>
      </c>
      <c r="H26" s="14">
        <f>H13-H25</f>
        <v/>
      </c>
      <c r="I26" s="14">
        <f>I13-I25</f>
        <v/>
      </c>
      <c r="J26" s="14">
        <f>J13-J25</f>
        <v/>
      </c>
      <c r="K26" s="14">
        <f>K13-K25</f>
        <v/>
      </c>
      <c r="L26" s="14">
        <f>L13-L25</f>
        <v/>
      </c>
      <c r="M26" s="14">
        <f>M13-M25</f>
        <v/>
      </c>
      <c r="N26" s="14">
        <f>N13-N25</f>
        <v/>
      </c>
      <c r="O26" s="14">
        <f>O13-O25</f>
        <v/>
      </c>
      <c r="P26" s="14">
        <f>P13-P25</f>
        <v/>
      </c>
      <c r="Q26" s="14">
        <f>Q13-Q25</f>
        <v/>
      </c>
      <c r="R26" s="14">
        <f>R13-R25</f>
        <v/>
      </c>
      <c r="S26" s="14">
        <f>S13-S25</f>
        <v/>
      </c>
      <c r="T26" s="14">
        <f>T13-T25</f>
        <v/>
      </c>
      <c r="U26" s="14">
        <f>U13-U25</f>
        <v/>
      </c>
      <c r="V26" s="14">
        <f>V13-V25</f>
        <v/>
      </c>
      <c r="W26" s="14">
        <f>W13-W25</f>
        <v/>
      </c>
      <c r="X26" s="14">
        <f>X13-X25</f>
        <v/>
      </c>
      <c r="Y26" s="14">
        <f>Y13-Y25</f>
        <v/>
      </c>
      <c r="Z26" s="14">
        <f>Z13-Z25</f>
        <v/>
      </c>
      <c r="AA26" s="14">
        <f>AA13-AA25</f>
        <v/>
      </c>
      <c r="AB26" s="14">
        <f>AB13-AB25</f>
        <v/>
      </c>
      <c r="AC26" s="14">
        <f>AC13-AC25</f>
        <v/>
      </c>
      <c r="AD26" s="14">
        <f>AD13-AD25</f>
        <v/>
      </c>
      <c r="AE26" s="14">
        <f>AE13-AE25</f>
        <v/>
      </c>
      <c r="AF26" s="14">
        <f>AF13-AF25</f>
        <v/>
      </c>
      <c r="AG26" s="14">
        <f>AG13-AG25</f>
        <v/>
      </c>
      <c r="AH26" s="14">
        <f>AH13-AH25</f>
        <v/>
      </c>
      <c r="AI26" s="14">
        <f>AI13-AI25</f>
        <v/>
      </c>
      <c r="AJ26" s="14">
        <f>AJ13-AJ25</f>
        <v/>
      </c>
      <c r="AK26" s="14">
        <f>AK13-AK25</f>
        <v/>
      </c>
      <c r="AL26" s="14">
        <f>AL13-AL25</f>
        <v/>
      </c>
      <c r="AM26" s="14">
        <f>AM13-AM25</f>
        <v/>
      </c>
      <c r="AN26" s="14">
        <f>AN13-AN25</f>
        <v/>
      </c>
      <c r="AO26" s="14">
        <f>AO13-AO25</f>
        <v/>
      </c>
      <c r="AP26" s="14">
        <f>AP13-AP25</f>
        <v/>
      </c>
      <c r="AQ26" s="14">
        <f>AQ13-AQ25</f>
        <v/>
      </c>
      <c r="AR26" s="14">
        <f>AR13-AR25</f>
        <v/>
      </c>
      <c r="AS26" s="14">
        <f>AS13-AS25</f>
        <v/>
      </c>
      <c r="AT26" s="14">
        <f>AT13-AT25</f>
        <v/>
      </c>
      <c r="AU26" s="14">
        <f>AU13-AU25</f>
        <v/>
      </c>
      <c r="AV26" s="14">
        <f>AV13-AV25</f>
        <v/>
      </c>
      <c r="AW26" s="14">
        <f>AW13-AW25</f>
        <v/>
      </c>
      <c r="AX26" s="14">
        <f>AX13-AX25</f>
        <v/>
      </c>
      <c r="AY26" s="14">
        <f>AY13-AY25</f>
        <v/>
      </c>
      <c r="AZ26" s="14">
        <f>AZ13-AZ25</f>
        <v/>
      </c>
      <c r="BA26" s="14">
        <f>BA13-BA25</f>
        <v/>
      </c>
      <c r="BB26" s="14">
        <f>BB13-BB25</f>
        <v/>
      </c>
      <c r="BC26" s="14">
        <f>BC13-BC25</f>
        <v/>
      </c>
      <c r="BD26" s="14">
        <f>BD13-BD25</f>
        <v/>
      </c>
      <c r="BE26" s="14">
        <f>BE13-BE25</f>
        <v/>
      </c>
      <c r="BF26" s="14">
        <f>BF13-BF25</f>
        <v/>
      </c>
      <c r="BG26" s="14">
        <f>BG13-BG25</f>
        <v/>
      </c>
      <c r="BH26" s="14">
        <f>BH13-BH25</f>
        <v/>
      </c>
      <c r="BI26" s="14">
        <f>BI13-BI25</f>
        <v/>
      </c>
      <c r="BJ26" s="13">
        <f>BJ13-BJ25</f>
        <v/>
      </c>
    </row>
    <row r="27">
      <c r="A27" s="5" t="inlineStr">
        <is>
          <t>累計損益(初期投資込)</t>
        </is>
      </c>
      <c r="B27" s="5" t="n"/>
      <c r="C27" s="14">
        <f>-前提条件!$D$19+C26</f>
        <v/>
      </c>
      <c r="D27" s="14">
        <f>C27+D26</f>
        <v/>
      </c>
      <c r="E27" s="14">
        <f>D27+E26</f>
        <v/>
      </c>
      <c r="F27" s="14">
        <f>E27+F26</f>
        <v/>
      </c>
      <c r="G27" s="14">
        <f>F27+G26</f>
        <v/>
      </c>
      <c r="H27" s="14">
        <f>G27+H26</f>
        <v/>
      </c>
      <c r="I27" s="14">
        <f>H27+I26</f>
        <v/>
      </c>
      <c r="J27" s="14">
        <f>I27+J26</f>
        <v/>
      </c>
      <c r="K27" s="14">
        <f>J27+K26</f>
        <v/>
      </c>
      <c r="L27" s="14">
        <f>K27+L26</f>
        <v/>
      </c>
      <c r="M27" s="14">
        <f>L27+M26</f>
        <v/>
      </c>
      <c r="N27" s="14">
        <f>M27+N26</f>
        <v/>
      </c>
      <c r="O27" s="14">
        <f>N27+O26</f>
        <v/>
      </c>
      <c r="P27" s="14">
        <f>O27+P26</f>
        <v/>
      </c>
      <c r="Q27" s="14">
        <f>P27+Q26</f>
        <v/>
      </c>
      <c r="R27" s="14">
        <f>Q27+R26</f>
        <v/>
      </c>
      <c r="S27" s="14">
        <f>R27+S26</f>
        <v/>
      </c>
      <c r="T27" s="14">
        <f>S27+T26</f>
        <v/>
      </c>
      <c r="U27" s="14">
        <f>T27+U26</f>
        <v/>
      </c>
      <c r="V27" s="14">
        <f>U27+V26</f>
        <v/>
      </c>
      <c r="W27" s="14">
        <f>V27+W26</f>
        <v/>
      </c>
      <c r="X27" s="14">
        <f>W27+X26</f>
        <v/>
      </c>
      <c r="Y27" s="14">
        <f>X27+Y26</f>
        <v/>
      </c>
      <c r="Z27" s="14">
        <f>Y27+Z26</f>
        <v/>
      </c>
      <c r="AA27" s="14">
        <f>Z27+AA26</f>
        <v/>
      </c>
      <c r="AB27" s="14">
        <f>AA27+AB26</f>
        <v/>
      </c>
      <c r="AC27" s="14">
        <f>AB27+AC26</f>
        <v/>
      </c>
      <c r="AD27" s="14">
        <f>AC27+AD26</f>
        <v/>
      </c>
      <c r="AE27" s="14">
        <f>AD27+AE26</f>
        <v/>
      </c>
      <c r="AF27" s="14">
        <f>AE27+AF26</f>
        <v/>
      </c>
      <c r="AG27" s="14">
        <f>AF27+AG26</f>
        <v/>
      </c>
      <c r="AH27" s="14">
        <f>AG27+AH26</f>
        <v/>
      </c>
      <c r="AI27" s="14">
        <f>AH27+AI26</f>
        <v/>
      </c>
      <c r="AJ27" s="14">
        <f>AI27+AJ26</f>
        <v/>
      </c>
      <c r="AK27" s="14">
        <f>AJ27+AK26</f>
        <v/>
      </c>
      <c r="AL27" s="14">
        <f>AK27+AL26</f>
        <v/>
      </c>
      <c r="AM27" s="14">
        <f>AL27+AM26</f>
        <v/>
      </c>
      <c r="AN27" s="14">
        <f>AM27+AN26</f>
        <v/>
      </c>
      <c r="AO27" s="14">
        <f>AN27+AO26</f>
        <v/>
      </c>
      <c r="AP27" s="14">
        <f>AO27+AP26</f>
        <v/>
      </c>
      <c r="AQ27" s="14">
        <f>AP27+AQ26</f>
        <v/>
      </c>
      <c r="AR27" s="14">
        <f>AQ27+AR26</f>
        <v/>
      </c>
      <c r="AS27" s="14">
        <f>AR27+AS26</f>
        <v/>
      </c>
      <c r="AT27" s="14">
        <f>AS27+AT26</f>
        <v/>
      </c>
      <c r="AU27" s="14">
        <f>AT27+AU26</f>
        <v/>
      </c>
      <c r="AV27" s="14">
        <f>AU27+AV26</f>
        <v/>
      </c>
      <c r="AW27" s="14">
        <f>AV27+AW26</f>
        <v/>
      </c>
      <c r="AX27" s="14">
        <f>AW27+AX26</f>
        <v/>
      </c>
      <c r="AY27" s="14">
        <f>AX27+AY26</f>
        <v/>
      </c>
      <c r="AZ27" s="14">
        <f>AY27+AZ26</f>
        <v/>
      </c>
      <c r="BA27" s="14">
        <f>AZ27+BA26</f>
        <v/>
      </c>
      <c r="BB27" s="14">
        <f>BA27+BB26</f>
        <v/>
      </c>
      <c r="BC27" s="14">
        <f>BB27+BC26</f>
        <v/>
      </c>
      <c r="BD27" s="14">
        <f>BC27+BD26</f>
        <v/>
      </c>
      <c r="BE27" s="14">
        <f>BD27+BE26</f>
        <v/>
      </c>
      <c r="BF27" s="14">
        <f>BE27+BF26</f>
        <v/>
      </c>
      <c r="BG27" s="14">
        <f>BF27+BG26</f>
        <v/>
      </c>
      <c r="BH27" s="14">
        <f>BG27+BH26</f>
        <v/>
      </c>
      <c r="BI27" s="14">
        <f>BH27+BI26</f>
        <v/>
      </c>
      <c r="BJ27" s="13">
        <f>BI27+BJ26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月次収支(楽観シナリオ、単位:万円)</t>
        </is>
      </c>
    </row>
    <row r="3">
      <c r="A3" s="3" t="inlineStr">
        <is>
          <t>月</t>
        </is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  <c r="AB3" s="11" t="n">
        <v>26</v>
      </c>
      <c r="AC3" s="11" t="n">
        <v>27</v>
      </c>
      <c r="AD3" s="11" t="n">
        <v>28</v>
      </c>
      <c r="AE3" s="11" t="n">
        <v>29</v>
      </c>
      <c r="AF3" s="11" t="n">
        <v>30</v>
      </c>
      <c r="AG3" s="11" t="n">
        <v>31</v>
      </c>
      <c r="AH3" s="11" t="n">
        <v>32</v>
      </c>
      <c r="AI3" s="11" t="n">
        <v>33</v>
      </c>
      <c r="AJ3" s="11" t="n">
        <v>34</v>
      </c>
      <c r="AK3" s="11" t="n">
        <v>35</v>
      </c>
      <c r="AL3" s="11" t="n">
        <v>36</v>
      </c>
      <c r="AM3" s="11" t="n">
        <v>37</v>
      </c>
      <c r="AN3" s="11" t="n">
        <v>38</v>
      </c>
      <c r="AO3" s="11" t="n">
        <v>39</v>
      </c>
      <c r="AP3" s="11" t="n">
        <v>40</v>
      </c>
      <c r="AQ3" s="11" t="n">
        <v>41</v>
      </c>
      <c r="AR3" s="11" t="n">
        <v>42</v>
      </c>
      <c r="AS3" s="11" t="n">
        <v>43</v>
      </c>
      <c r="AT3" s="11" t="n">
        <v>44</v>
      </c>
      <c r="AU3" s="11" t="n">
        <v>45</v>
      </c>
      <c r="AV3" s="11" t="n">
        <v>46</v>
      </c>
      <c r="AW3" s="11" t="n">
        <v>47</v>
      </c>
      <c r="AX3" s="11" t="n">
        <v>48</v>
      </c>
      <c r="AY3" s="11" t="n">
        <v>49</v>
      </c>
      <c r="AZ3" s="11" t="n">
        <v>50</v>
      </c>
      <c r="BA3" s="11" t="n">
        <v>51</v>
      </c>
      <c r="BB3" s="11" t="n">
        <v>52</v>
      </c>
      <c r="BC3" s="11" t="n">
        <v>53</v>
      </c>
      <c r="BD3" s="11" t="n">
        <v>54</v>
      </c>
      <c r="BE3" s="11" t="n">
        <v>55</v>
      </c>
      <c r="BF3" s="11" t="n">
        <v>56</v>
      </c>
      <c r="BG3" s="11" t="n">
        <v>57</v>
      </c>
      <c r="BH3" s="11" t="n">
        <v>58</v>
      </c>
      <c r="BI3" s="11" t="n">
        <v>59</v>
      </c>
      <c r="BJ3" s="11" t="n">
        <v>60</v>
      </c>
    </row>
    <row r="4">
      <c r="A4" t="inlineStr">
        <is>
          <t>年</t>
        </is>
      </c>
      <c r="C4" s="12">
        <f>ROUNDUP(C3/12,0)</f>
        <v/>
      </c>
      <c r="D4" s="12">
        <f>ROUNDUP(D3/12,0)</f>
        <v/>
      </c>
      <c r="E4" s="12">
        <f>ROUNDUP(E3/12,0)</f>
        <v/>
      </c>
      <c r="F4" s="12">
        <f>ROUNDUP(F3/12,0)</f>
        <v/>
      </c>
      <c r="G4" s="12">
        <f>ROUNDUP(G3/12,0)</f>
        <v/>
      </c>
      <c r="H4" s="12">
        <f>ROUNDUP(H3/12,0)</f>
        <v/>
      </c>
      <c r="I4" s="12">
        <f>ROUNDUP(I3/12,0)</f>
        <v/>
      </c>
      <c r="J4" s="12">
        <f>ROUNDUP(J3/12,0)</f>
        <v/>
      </c>
      <c r="K4" s="12">
        <f>ROUNDUP(K3/12,0)</f>
        <v/>
      </c>
      <c r="L4" s="12">
        <f>ROUNDUP(L3/12,0)</f>
        <v/>
      </c>
      <c r="M4" s="12">
        <f>ROUNDUP(M3/12,0)</f>
        <v/>
      </c>
      <c r="N4" s="12">
        <f>ROUNDUP(N3/12,0)</f>
        <v/>
      </c>
      <c r="O4" s="12">
        <f>ROUNDUP(O3/12,0)</f>
        <v/>
      </c>
      <c r="P4" s="12">
        <f>ROUNDUP(P3/12,0)</f>
        <v/>
      </c>
      <c r="Q4" s="12">
        <f>ROUNDUP(Q3/12,0)</f>
        <v/>
      </c>
      <c r="R4" s="12">
        <f>ROUNDUP(R3/12,0)</f>
        <v/>
      </c>
      <c r="S4" s="12">
        <f>ROUNDUP(S3/12,0)</f>
        <v/>
      </c>
      <c r="T4" s="12">
        <f>ROUNDUP(T3/12,0)</f>
        <v/>
      </c>
      <c r="U4" s="12">
        <f>ROUNDUP(U3/12,0)</f>
        <v/>
      </c>
      <c r="V4" s="12">
        <f>ROUNDUP(V3/12,0)</f>
        <v/>
      </c>
      <c r="W4" s="12">
        <f>ROUNDUP(W3/12,0)</f>
        <v/>
      </c>
      <c r="X4" s="12">
        <f>ROUNDUP(X3/12,0)</f>
        <v/>
      </c>
      <c r="Y4" s="12">
        <f>ROUNDUP(Y3/12,0)</f>
        <v/>
      </c>
      <c r="Z4" s="12">
        <f>ROUNDUP(Z3/12,0)</f>
        <v/>
      </c>
      <c r="AA4" s="12">
        <f>ROUNDUP(AA3/12,0)</f>
        <v/>
      </c>
      <c r="AB4" s="12">
        <f>ROUNDUP(AB3/12,0)</f>
        <v/>
      </c>
      <c r="AC4" s="12">
        <f>ROUNDUP(AC3/12,0)</f>
        <v/>
      </c>
      <c r="AD4" s="12">
        <f>ROUNDUP(AD3/12,0)</f>
        <v/>
      </c>
      <c r="AE4" s="12">
        <f>ROUNDUP(AE3/12,0)</f>
        <v/>
      </c>
      <c r="AF4" s="12">
        <f>ROUNDUP(AF3/12,0)</f>
        <v/>
      </c>
      <c r="AG4" s="12">
        <f>ROUNDUP(AG3/12,0)</f>
        <v/>
      </c>
      <c r="AH4" s="12">
        <f>ROUNDUP(AH3/12,0)</f>
        <v/>
      </c>
      <c r="AI4" s="12">
        <f>ROUNDUP(AI3/12,0)</f>
        <v/>
      </c>
      <c r="AJ4" s="12">
        <f>ROUNDUP(AJ3/12,0)</f>
        <v/>
      </c>
      <c r="AK4" s="12">
        <f>ROUNDUP(AK3/12,0)</f>
        <v/>
      </c>
      <c r="AL4" s="12">
        <f>ROUNDUP(AL3/12,0)</f>
        <v/>
      </c>
      <c r="AM4" s="12">
        <f>ROUNDUP(AM3/12,0)</f>
        <v/>
      </c>
      <c r="AN4" s="12">
        <f>ROUNDUP(AN3/12,0)</f>
        <v/>
      </c>
      <c r="AO4" s="12">
        <f>ROUNDUP(AO3/12,0)</f>
        <v/>
      </c>
      <c r="AP4" s="12">
        <f>ROUNDUP(AP3/12,0)</f>
        <v/>
      </c>
      <c r="AQ4" s="12">
        <f>ROUNDUP(AQ3/12,0)</f>
        <v/>
      </c>
      <c r="AR4" s="12">
        <f>ROUNDUP(AR3/12,0)</f>
        <v/>
      </c>
      <c r="AS4" s="12">
        <f>ROUNDUP(AS3/12,0)</f>
        <v/>
      </c>
      <c r="AT4" s="12">
        <f>ROUNDUP(AT3/12,0)</f>
        <v/>
      </c>
      <c r="AU4" s="12">
        <f>ROUNDUP(AU3/12,0)</f>
        <v/>
      </c>
      <c r="AV4" s="12">
        <f>ROUNDUP(AV3/12,0)</f>
        <v/>
      </c>
      <c r="AW4" s="12">
        <f>ROUNDUP(AW3/12,0)</f>
        <v/>
      </c>
      <c r="AX4" s="12">
        <f>ROUNDUP(AX3/12,0)</f>
        <v/>
      </c>
      <c r="AY4" s="12">
        <f>ROUNDUP(AY3/12,0)</f>
        <v/>
      </c>
      <c r="AZ4" s="12">
        <f>ROUNDUP(AZ3/12,0)</f>
        <v/>
      </c>
      <c r="BA4" s="12">
        <f>ROUNDUP(BA3/12,0)</f>
        <v/>
      </c>
      <c r="BB4" s="12">
        <f>ROUNDUP(BB3/12,0)</f>
        <v/>
      </c>
      <c r="BC4" s="12">
        <f>ROUNDUP(BC3/12,0)</f>
        <v/>
      </c>
      <c r="BD4" s="12">
        <f>ROUNDUP(BD3/12,0)</f>
        <v/>
      </c>
      <c r="BE4" s="12">
        <f>ROUNDUP(BE3/12,0)</f>
        <v/>
      </c>
      <c r="BF4" s="12">
        <f>ROUNDUP(BF3/12,0)</f>
        <v/>
      </c>
      <c r="BG4" s="12">
        <f>ROUNDUP(BG3/12,0)</f>
        <v/>
      </c>
      <c r="BH4" s="12">
        <f>ROUNDUP(BH3/12,0)</f>
        <v/>
      </c>
      <c r="BI4" s="12">
        <f>ROUNDUP(BI3/12,0)</f>
        <v/>
      </c>
      <c r="BJ4" s="12">
        <f>ROUNDUP(BJ3/12,0)</f>
        <v/>
      </c>
    </row>
    <row r="5">
      <c r="A5" t="inlineStr">
        <is>
          <t>新規契約店(トライアル開始)</t>
        </is>
      </c>
      <c r="C5" s="13">
        <f>IF(C3&lt;=6,前提条件!$E$4,IF(C3&lt;=12,前提条件!$E$5,IF(C3&lt;=24,前提条件!$E$6,前提条件!$E$7)))</f>
        <v/>
      </c>
      <c r="D5" s="13">
        <f>IF(D3&lt;=6,前提条件!$E$4,IF(D3&lt;=12,前提条件!$E$5,IF(D3&lt;=24,前提条件!$E$6,前提条件!$E$7)))</f>
        <v/>
      </c>
      <c r="E5" s="13">
        <f>IF(E3&lt;=6,前提条件!$E$4,IF(E3&lt;=12,前提条件!$E$5,IF(E3&lt;=24,前提条件!$E$6,前提条件!$E$7)))</f>
        <v/>
      </c>
      <c r="F5" s="13">
        <f>IF(F3&lt;=6,前提条件!$E$4,IF(F3&lt;=12,前提条件!$E$5,IF(F3&lt;=24,前提条件!$E$6,前提条件!$E$7)))</f>
        <v/>
      </c>
      <c r="G5" s="13">
        <f>IF(G3&lt;=6,前提条件!$E$4,IF(G3&lt;=12,前提条件!$E$5,IF(G3&lt;=24,前提条件!$E$6,前提条件!$E$7)))</f>
        <v/>
      </c>
      <c r="H5" s="13">
        <f>IF(H3&lt;=6,前提条件!$E$4,IF(H3&lt;=12,前提条件!$E$5,IF(H3&lt;=24,前提条件!$E$6,前提条件!$E$7)))</f>
        <v/>
      </c>
      <c r="I5" s="13">
        <f>IF(I3&lt;=6,前提条件!$E$4,IF(I3&lt;=12,前提条件!$E$5,IF(I3&lt;=24,前提条件!$E$6,前提条件!$E$7)))</f>
        <v/>
      </c>
      <c r="J5" s="13">
        <f>IF(J3&lt;=6,前提条件!$E$4,IF(J3&lt;=12,前提条件!$E$5,IF(J3&lt;=24,前提条件!$E$6,前提条件!$E$7)))</f>
        <v/>
      </c>
      <c r="K5" s="13">
        <f>IF(K3&lt;=6,前提条件!$E$4,IF(K3&lt;=12,前提条件!$E$5,IF(K3&lt;=24,前提条件!$E$6,前提条件!$E$7)))</f>
        <v/>
      </c>
      <c r="L5" s="13">
        <f>IF(L3&lt;=6,前提条件!$E$4,IF(L3&lt;=12,前提条件!$E$5,IF(L3&lt;=24,前提条件!$E$6,前提条件!$E$7)))</f>
        <v/>
      </c>
      <c r="M5" s="13">
        <f>IF(M3&lt;=6,前提条件!$E$4,IF(M3&lt;=12,前提条件!$E$5,IF(M3&lt;=24,前提条件!$E$6,前提条件!$E$7)))</f>
        <v/>
      </c>
      <c r="N5" s="13">
        <f>IF(N3&lt;=6,前提条件!$E$4,IF(N3&lt;=12,前提条件!$E$5,IF(N3&lt;=24,前提条件!$E$6,前提条件!$E$7)))</f>
        <v/>
      </c>
      <c r="O5" s="13">
        <f>IF(O3&lt;=6,前提条件!$E$4,IF(O3&lt;=12,前提条件!$E$5,IF(O3&lt;=24,前提条件!$E$6,前提条件!$E$7)))</f>
        <v/>
      </c>
      <c r="P5" s="13">
        <f>IF(P3&lt;=6,前提条件!$E$4,IF(P3&lt;=12,前提条件!$E$5,IF(P3&lt;=24,前提条件!$E$6,前提条件!$E$7)))</f>
        <v/>
      </c>
      <c r="Q5" s="13">
        <f>IF(Q3&lt;=6,前提条件!$E$4,IF(Q3&lt;=12,前提条件!$E$5,IF(Q3&lt;=24,前提条件!$E$6,前提条件!$E$7)))</f>
        <v/>
      </c>
      <c r="R5" s="13">
        <f>IF(R3&lt;=6,前提条件!$E$4,IF(R3&lt;=12,前提条件!$E$5,IF(R3&lt;=24,前提条件!$E$6,前提条件!$E$7)))</f>
        <v/>
      </c>
      <c r="S5" s="13">
        <f>IF(S3&lt;=6,前提条件!$E$4,IF(S3&lt;=12,前提条件!$E$5,IF(S3&lt;=24,前提条件!$E$6,前提条件!$E$7)))</f>
        <v/>
      </c>
      <c r="T5" s="13">
        <f>IF(T3&lt;=6,前提条件!$E$4,IF(T3&lt;=12,前提条件!$E$5,IF(T3&lt;=24,前提条件!$E$6,前提条件!$E$7)))</f>
        <v/>
      </c>
      <c r="U5" s="13">
        <f>IF(U3&lt;=6,前提条件!$E$4,IF(U3&lt;=12,前提条件!$E$5,IF(U3&lt;=24,前提条件!$E$6,前提条件!$E$7)))</f>
        <v/>
      </c>
      <c r="V5" s="13">
        <f>IF(V3&lt;=6,前提条件!$E$4,IF(V3&lt;=12,前提条件!$E$5,IF(V3&lt;=24,前提条件!$E$6,前提条件!$E$7)))</f>
        <v/>
      </c>
      <c r="W5" s="13">
        <f>IF(W3&lt;=6,前提条件!$E$4,IF(W3&lt;=12,前提条件!$E$5,IF(W3&lt;=24,前提条件!$E$6,前提条件!$E$7)))</f>
        <v/>
      </c>
      <c r="X5" s="13">
        <f>IF(X3&lt;=6,前提条件!$E$4,IF(X3&lt;=12,前提条件!$E$5,IF(X3&lt;=24,前提条件!$E$6,前提条件!$E$7)))</f>
        <v/>
      </c>
      <c r="Y5" s="13">
        <f>IF(Y3&lt;=6,前提条件!$E$4,IF(Y3&lt;=12,前提条件!$E$5,IF(Y3&lt;=24,前提条件!$E$6,前提条件!$E$7)))</f>
        <v/>
      </c>
      <c r="Z5" s="13">
        <f>IF(Z3&lt;=6,前提条件!$E$4,IF(Z3&lt;=12,前提条件!$E$5,IF(Z3&lt;=24,前提条件!$E$6,前提条件!$E$7)))</f>
        <v/>
      </c>
      <c r="AA5" s="13">
        <f>IF(AA3&lt;=6,前提条件!$E$4,IF(AA3&lt;=12,前提条件!$E$5,IF(AA3&lt;=24,前提条件!$E$6,前提条件!$E$7)))</f>
        <v/>
      </c>
      <c r="AB5" s="13">
        <f>IF(AB3&lt;=6,前提条件!$E$4,IF(AB3&lt;=12,前提条件!$E$5,IF(AB3&lt;=24,前提条件!$E$6,前提条件!$E$7)))</f>
        <v/>
      </c>
      <c r="AC5" s="13">
        <f>IF(AC3&lt;=6,前提条件!$E$4,IF(AC3&lt;=12,前提条件!$E$5,IF(AC3&lt;=24,前提条件!$E$6,前提条件!$E$7)))</f>
        <v/>
      </c>
      <c r="AD5" s="13">
        <f>IF(AD3&lt;=6,前提条件!$E$4,IF(AD3&lt;=12,前提条件!$E$5,IF(AD3&lt;=24,前提条件!$E$6,前提条件!$E$7)))</f>
        <v/>
      </c>
      <c r="AE5" s="13">
        <f>IF(AE3&lt;=6,前提条件!$E$4,IF(AE3&lt;=12,前提条件!$E$5,IF(AE3&lt;=24,前提条件!$E$6,前提条件!$E$7)))</f>
        <v/>
      </c>
      <c r="AF5" s="13">
        <f>IF(AF3&lt;=6,前提条件!$E$4,IF(AF3&lt;=12,前提条件!$E$5,IF(AF3&lt;=24,前提条件!$E$6,前提条件!$E$7)))</f>
        <v/>
      </c>
      <c r="AG5" s="13">
        <f>IF(AG3&lt;=6,前提条件!$E$4,IF(AG3&lt;=12,前提条件!$E$5,IF(AG3&lt;=24,前提条件!$E$6,前提条件!$E$7)))</f>
        <v/>
      </c>
      <c r="AH5" s="13">
        <f>IF(AH3&lt;=6,前提条件!$E$4,IF(AH3&lt;=12,前提条件!$E$5,IF(AH3&lt;=24,前提条件!$E$6,前提条件!$E$7)))</f>
        <v/>
      </c>
      <c r="AI5" s="13">
        <f>IF(AI3&lt;=6,前提条件!$E$4,IF(AI3&lt;=12,前提条件!$E$5,IF(AI3&lt;=24,前提条件!$E$6,前提条件!$E$7)))</f>
        <v/>
      </c>
      <c r="AJ5" s="13">
        <f>IF(AJ3&lt;=6,前提条件!$E$4,IF(AJ3&lt;=12,前提条件!$E$5,IF(AJ3&lt;=24,前提条件!$E$6,前提条件!$E$7)))</f>
        <v/>
      </c>
      <c r="AK5" s="13">
        <f>IF(AK3&lt;=6,前提条件!$E$4,IF(AK3&lt;=12,前提条件!$E$5,IF(AK3&lt;=24,前提条件!$E$6,前提条件!$E$7)))</f>
        <v/>
      </c>
      <c r="AL5" s="13">
        <f>IF(AL3&lt;=6,前提条件!$E$4,IF(AL3&lt;=12,前提条件!$E$5,IF(AL3&lt;=24,前提条件!$E$6,前提条件!$E$7)))</f>
        <v/>
      </c>
      <c r="AM5" s="13">
        <f>IF(AM3&lt;=6,前提条件!$E$4,IF(AM3&lt;=12,前提条件!$E$5,IF(AM3&lt;=24,前提条件!$E$6,前提条件!$E$7)))</f>
        <v/>
      </c>
      <c r="AN5" s="13">
        <f>IF(AN3&lt;=6,前提条件!$E$4,IF(AN3&lt;=12,前提条件!$E$5,IF(AN3&lt;=24,前提条件!$E$6,前提条件!$E$7)))</f>
        <v/>
      </c>
      <c r="AO5" s="13">
        <f>IF(AO3&lt;=6,前提条件!$E$4,IF(AO3&lt;=12,前提条件!$E$5,IF(AO3&lt;=24,前提条件!$E$6,前提条件!$E$7)))</f>
        <v/>
      </c>
      <c r="AP5" s="13">
        <f>IF(AP3&lt;=6,前提条件!$E$4,IF(AP3&lt;=12,前提条件!$E$5,IF(AP3&lt;=24,前提条件!$E$6,前提条件!$E$7)))</f>
        <v/>
      </c>
      <c r="AQ5" s="13">
        <f>IF(AQ3&lt;=6,前提条件!$E$4,IF(AQ3&lt;=12,前提条件!$E$5,IF(AQ3&lt;=24,前提条件!$E$6,前提条件!$E$7)))</f>
        <v/>
      </c>
      <c r="AR5" s="13">
        <f>IF(AR3&lt;=6,前提条件!$E$4,IF(AR3&lt;=12,前提条件!$E$5,IF(AR3&lt;=24,前提条件!$E$6,前提条件!$E$7)))</f>
        <v/>
      </c>
      <c r="AS5" s="13">
        <f>IF(AS3&lt;=6,前提条件!$E$4,IF(AS3&lt;=12,前提条件!$E$5,IF(AS3&lt;=24,前提条件!$E$6,前提条件!$E$7)))</f>
        <v/>
      </c>
      <c r="AT5" s="13">
        <f>IF(AT3&lt;=6,前提条件!$E$4,IF(AT3&lt;=12,前提条件!$E$5,IF(AT3&lt;=24,前提条件!$E$6,前提条件!$E$7)))</f>
        <v/>
      </c>
      <c r="AU5" s="13">
        <f>IF(AU3&lt;=6,前提条件!$E$4,IF(AU3&lt;=12,前提条件!$E$5,IF(AU3&lt;=24,前提条件!$E$6,前提条件!$E$7)))</f>
        <v/>
      </c>
      <c r="AV5" s="13">
        <f>IF(AV3&lt;=6,前提条件!$E$4,IF(AV3&lt;=12,前提条件!$E$5,IF(AV3&lt;=24,前提条件!$E$6,前提条件!$E$7)))</f>
        <v/>
      </c>
      <c r="AW5" s="13">
        <f>IF(AW3&lt;=6,前提条件!$E$4,IF(AW3&lt;=12,前提条件!$E$5,IF(AW3&lt;=24,前提条件!$E$6,前提条件!$E$7)))</f>
        <v/>
      </c>
      <c r="AX5" s="13">
        <f>IF(AX3&lt;=6,前提条件!$E$4,IF(AX3&lt;=12,前提条件!$E$5,IF(AX3&lt;=24,前提条件!$E$6,前提条件!$E$7)))</f>
        <v/>
      </c>
      <c r="AY5" s="13">
        <f>IF(AY3&lt;=6,前提条件!$E$4,IF(AY3&lt;=12,前提条件!$E$5,IF(AY3&lt;=24,前提条件!$E$6,前提条件!$E$7)))</f>
        <v/>
      </c>
      <c r="AZ5" s="13">
        <f>IF(AZ3&lt;=6,前提条件!$E$4,IF(AZ3&lt;=12,前提条件!$E$5,IF(AZ3&lt;=24,前提条件!$E$6,前提条件!$E$7)))</f>
        <v/>
      </c>
      <c r="BA5" s="13">
        <f>IF(BA3&lt;=6,前提条件!$E$4,IF(BA3&lt;=12,前提条件!$E$5,IF(BA3&lt;=24,前提条件!$E$6,前提条件!$E$7)))</f>
        <v/>
      </c>
      <c r="BB5" s="13">
        <f>IF(BB3&lt;=6,前提条件!$E$4,IF(BB3&lt;=12,前提条件!$E$5,IF(BB3&lt;=24,前提条件!$E$6,前提条件!$E$7)))</f>
        <v/>
      </c>
      <c r="BC5" s="13">
        <f>IF(BC3&lt;=6,前提条件!$E$4,IF(BC3&lt;=12,前提条件!$E$5,IF(BC3&lt;=24,前提条件!$E$6,前提条件!$E$7)))</f>
        <v/>
      </c>
      <c r="BD5" s="13">
        <f>IF(BD3&lt;=6,前提条件!$E$4,IF(BD3&lt;=12,前提条件!$E$5,IF(BD3&lt;=24,前提条件!$E$6,前提条件!$E$7)))</f>
        <v/>
      </c>
      <c r="BE5" s="13">
        <f>IF(BE3&lt;=6,前提条件!$E$4,IF(BE3&lt;=12,前提条件!$E$5,IF(BE3&lt;=24,前提条件!$E$6,前提条件!$E$7)))</f>
        <v/>
      </c>
      <c r="BF5" s="13">
        <f>IF(BF3&lt;=6,前提条件!$E$4,IF(BF3&lt;=12,前提条件!$E$5,IF(BF3&lt;=24,前提条件!$E$6,前提条件!$E$7)))</f>
        <v/>
      </c>
      <c r="BG5" s="13">
        <f>IF(BG3&lt;=6,前提条件!$E$4,IF(BG3&lt;=12,前提条件!$E$5,IF(BG3&lt;=24,前提条件!$E$6,前提条件!$E$7)))</f>
        <v/>
      </c>
      <c r="BH5" s="13">
        <f>IF(BH3&lt;=6,前提条件!$E$4,IF(BH3&lt;=12,前提条件!$E$5,IF(BH3&lt;=24,前提条件!$E$6,前提条件!$E$7)))</f>
        <v/>
      </c>
      <c r="BI5" s="13">
        <f>IF(BI3&lt;=6,前提条件!$E$4,IF(BI3&lt;=12,前提条件!$E$5,IF(BI3&lt;=24,前提条件!$E$6,前提条件!$E$7)))</f>
        <v/>
      </c>
      <c r="BJ5" s="13">
        <f>IF(BJ3&lt;=6,前提条件!$E$4,IF(BJ3&lt;=12,前提条件!$E$5,IF(BJ3&lt;=24,前提条件!$E$6,前提条件!$E$7)))</f>
        <v/>
      </c>
    </row>
    <row r="6">
      <c r="A6" t="inlineStr">
        <is>
          <t>有料化(新規)</t>
        </is>
      </c>
      <c r="C6" s="13" t="n">
        <v>0</v>
      </c>
      <c r="D6" s="13" t="n">
        <v>0</v>
      </c>
      <c r="E6" s="13" t="n">
        <v>0</v>
      </c>
      <c r="F6" s="13">
        <f>C5</f>
        <v/>
      </c>
      <c r="G6" s="13">
        <f>D5</f>
        <v/>
      </c>
      <c r="H6" s="13">
        <f>E5</f>
        <v/>
      </c>
      <c r="I6" s="13">
        <f>F5</f>
        <v/>
      </c>
      <c r="J6" s="13">
        <f>G5</f>
        <v/>
      </c>
      <c r="K6" s="13">
        <f>H5</f>
        <v/>
      </c>
      <c r="L6" s="13">
        <f>I5</f>
        <v/>
      </c>
      <c r="M6" s="13">
        <f>J5</f>
        <v/>
      </c>
      <c r="N6" s="13">
        <f>K5</f>
        <v/>
      </c>
      <c r="O6" s="13">
        <f>L5</f>
        <v/>
      </c>
      <c r="P6" s="13">
        <f>M5</f>
        <v/>
      </c>
      <c r="Q6" s="13">
        <f>N5</f>
        <v/>
      </c>
      <c r="R6" s="13">
        <f>O5</f>
        <v/>
      </c>
      <c r="S6" s="13">
        <f>P5</f>
        <v/>
      </c>
      <c r="T6" s="13">
        <f>Q5</f>
        <v/>
      </c>
      <c r="U6" s="13">
        <f>R5</f>
        <v/>
      </c>
      <c r="V6" s="13">
        <f>S5</f>
        <v/>
      </c>
      <c r="W6" s="13">
        <f>T5</f>
        <v/>
      </c>
      <c r="X6" s="13">
        <f>U5</f>
        <v/>
      </c>
      <c r="Y6" s="13">
        <f>V5</f>
        <v/>
      </c>
      <c r="Z6" s="13">
        <f>W5</f>
        <v/>
      </c>
      <c r="AA6" s="13">
        <f>X5</f>
        <v/>
      </c>
      <c r="AB6" s="13">
        <f>Y5</f>
        <v/>
      </c>
      <c r="AC6" s="13">
        <f>Z5</f>
        <v/>
      </c>
      <c r="AD6" s="13">
        <f>AA5</f>
        <v/>
      </c>
      <c r="AE6" s="13">
        <f>AB5</f>
        <v/>
      </c>
      <c r="AF6" s="13">
        <f>AC5</f>
        <v/>
      </c>
      <c r="AG6" s="13">
        <f>AD5</f>
        <v/>
      </c>
      <c r="AH6" s="13">
        <f>AE5</f>
        <v/>
      </c>
      <c r="AI6" s="13">
        <f>AF5</f>
        <v/>
      </c>
      <c r="AJ6" s="13">
        <f>AG5</f>
        <v/>
      </c>
      <c r="AK6" s="13">
        <f>AH5</f>
        <v/>
      </c>
      <c r="AL6" s="13">
        <f>AI5</f>
        <v/>
      </c>
      <c r="AM6" s="13">
        <f>AJ5</f>
        <v/>
      </c>
      <c r="AN6" s="13">
        <f>AK5</f>
        <v/>
      </c>
      <c r="AO6" s="13">
        <f>AL5</f>
        <v/>
      </c>
      <c r="AP6" s="13">
        <f>AM5</f>
        <v/>
      </c>
      <c r="AQ6" s="13">
        <f>AN5</f>
        <v/>
      </c>
      <c r="AR6" s="13">
        <f>AO5</f>
        <v/>
      </c>
      <c r="AS6" s="13">
        <f>AP5</f>
        <v/>
      </c>
      <c r="AT6" s="13">
        <f>AQ5</f>
        <v/>
      </c>
      <c r="AU6" s="13">
        <f>AR5</f>
        <v/>
      </c>
      <c r="AV6" s="13">
        <f>AS5</f>
        <v/>
      </c>
      <c r="AW6" s="13">
        <f>AT5</f>
        <v/>
      </c>
      <c r="AX6" s="13">
        <f>AU5</f>
        <v/>
      </c>
      <c r="AY6" s="13">
        <f>AV5</f>
        <v/>
      </c>
      <c r="AZ6" s="13">
        <f>AW5</f>
        <v/>
      </c>
      <c r="BA6" s="13">
        <f>AX5</f>
        <v/>
      </c>
      <c r="BB6" s="13">
        <f>AY5</f>
        <v/>
      </c>
      <c r="BC6" s="13">
        <f>AZ5</f>
        <v/>
      </c>
      <c r="BD6" s="13">
        <f>BA5</f>
        <v/>
      </c>
      <c r="BE6" s="13">
        <f>BB5</f>
        <v/>
      </c>
      <c r="BF6" s="13">
        <f>BC5</f>
        <v/>
      </c>
      <c r="BG6" s="13">
        <f>BD5</f>
        <v/>
      </c>
      <c r="BH6" s="13">
        <f>BE5</f>
        <v/>
      </c>
      <c r="BI6" s="13">
        <f>BF5</f>
        <v/>
      </c>
      <c r="BJ6" s="13">
        <f>BG5</f>
        <v/>
      </c>
    </row>
    <row r="7">
      <c r="A7" t="inlineStr">
        <is>
          <t>解約</t>
        </is>
      </c>
      <c r="C7" s="13" t="n">
        <v>0</v>
      </c>
      <c r="D7" s="13">
        <f>C8*前提条件!$E$8</f>
        <v/>
      </c>
      <c r="E7" s="13">
        <f>D8*前提条件!$E$8</f>
        <v/>
      </c>
      <c r="F7" s="13">
        <f>E8*前提条件!$E$8</f>
        <v/>
      </c>
      <c r="G7" s="13">
        <f>F8*前提条件!$E$8</f>
        <v/>
      </c>
      <c r="H7" s="13">
        <f>G8*前提条件!$E$8</f>
        <v/>
      </c>
      <c r="I7" s="13">
        <f>H8*前提条件!$E$8</f>
        <v/>
      </c>
      <c r="J7" s="13">
        <f>I8*前提条件!$E$8</f>
        <v/>
      </c>
      <c r="K7" s="13">
        <f>J8*前提条件!$E$8</f>
        <v/>
      </c>
      <c r="L7" s="13">
        <f>K8*前提条件!$E$8</f>
        <v/>
      </c>
      <c r="M7" s="13">
        <f>L8*前提条件!$E$8</f>
        <v/>
      </c>
      <c r="N7" s="13">
        <f>M8*前提条件!$E$8</f>
        <v/>
      </c>
      <c r="O7" s="13">
        <f>N8*前提条件!$E$8</f>
        <v/>
      </c>
      <c r="P7" s="13">
        <f>O8*前提条件!$E$8</f>
        <v/>
      </c>
      <c r="Q7" s="13">
        <f>P8*前提条件!$E$8</f>
        <v/>
      </c>
      <c r="R7" s="13">
        <f>Q8*前提条件!$E$8</f>
        <v/>
      </c>
      <c r="S7" s="13">
        <f>R8*前提条件!$E$8</f>
        <v/>
      </c>
      <c r="T7" s="13">
        <f>S8*前提条件!$E$8</f>
        <v/>
      </c>
      <c r="U7" s="13">
        <f>T8*前提条件!$E$8</f>
        <v/>
      </c>
      <c r="V7" s="13">
        <f>U8*前提条件!$E$8</f>
        <v/>
      </c>
      <c r="W7" s="13">
        <f>V8*前提条件!$E$8</f>
        <v/>
      </c>
      <c r="X7" s="13">
        <f>W8*前提条件!$E$8</f>
        <v/>
      </c>
      <c r="Y7" s="13">
        <f>X8*前提条件!$E$8</f>
        <v/>
      </c>
      <c r="Z7" s="13">
        <f>Y8*前提条件!$E$8</f>
        <v/>
      </c>
      <c r="AA7" s="13">
        <f>Z8*前提条件!$E$8</f>
        <v/>
      </c>
      <c r="AB7" s="13">
        <f>AA8*前提条件!$E$8</f>
        <v/>
      </c>
      <c r="AC7" s="13">
        <f>AB8*前提条件!$E$8</f>
        <v/>
      </c>
      <c r="AD7" s="13">
        <f>AC8*前提条件!$E$8</f>
        <v/>
      </c>
      <c r="AE7" s="13">
        <f>AD8*前提条件!$E$8</f>
        <v/>
      </c>
      <c r="AF7" s="13">
        <f>AE8*前提条件!$E$8</f>
        <v/>
      </c>
      <c r="AG7" s="13">
        <f>AF8*前提条件!$E$8</f>
        <v/>
      </c>
      <c r="AH7" s="13">
        <f>AG8*前提条件!$E$8</f>
        <v/>
      </c>
      <c r="AI7" s="13">
        <f>AH8*前提条件!$E$8</f>
        <v/>
      </c>
      <c r="AJ7" s="13">
        <f>AI8*前提条件!$E$8</f>
        <v/>
      </c>
      <c r="AK7" s="13">
        <f>AJ8*前提条件!$E$8</f>
        <v/>
      </c>
      <c r="AL7" s="13">
        <f>AK8*前提条件!$E$8</f>
        <v/>
      </c>
      <c r="AM7" s="13">
        <f>AL8*前提条件!$E$8</f>
        <v/>
      </c>
      <c r="AN7" s="13">
        <f>AM8*前提条件!$E$8</f>
        <v/>
      </c>
      <c r="AO7" s="13">
        <f>AN8*前提条件!$E$8</f>
        <v/>
      </c>
      <c r="AP7" s="13">
        <f>AO8*前提条件!$E$8</f>
        <v/>
      </c>
      <c r="AQ7" s="13">
        <f>AP8*前提条件!$E$8</f>
        <v/>
      </c>
      <c r="AR7" s="13">
        <f>AQ8*前提条件!$E$8</f>
        <v/>
      </c>
      <c r="AS7" s="13">
        <f>AR8*前提条件!$E$8</f>
        <v/>
      </c>
      <c r="AT7" s="13">
        <f>AS8*前提条件!$E$8</f>
        <v/>
      </c>
      <c r="AU7" s="13">
        <f>AT8*前提条件!$E$8</f>
        <v/>
      </c>
      <c r="AV7" s="13">
        <f>AU8*前提条件!$E$8</f>
        <v/>
      </c>
      <c r="AW7" s="13">
        <f>AV8*前提条件!$E$8</f>
        <v/>
      </c>
      <c r="AX7" s="13">
        <f>AW8*前提条件!$E$8</f>
        <v/>
      </c>
      <c r="AY7" s="13">
        <f>AX8*前提条件!$E$8</f>
        <v/>
      </c>
      <c r="AZ7" s="13">
        <f>AY8*前提条件!$E$8</f>
        <v/>
      </c>
      <c r="BA7" s="13">
        <f>AZ8*前提条件!$E$8</f>
        <v/>
      </c>
      <c r="BB7" s="13">
        <f>BA8*前提条件!$E$8</f>
        <v/>
      </c>
      <c r="BC7" s="13">
        <f>BB8*前提条件!$E$8</f>
        <v/>
      </c>
      <c r="BD7" s="13">
        <f>BC8*前提条件!$E$8</f>
        <v/>
      </c>
      <c r="BE7" s="13">
        <f>BD8*前提条件!$E$8</f>
        <v/>
      </c>
      <c r="BF7" s="13">
        <f>BE8*前提条件!$E$8</f>
        <v/>
      </c>
      <c r="BG7" s="13">
        <f>BF8*前提条件!$E$8</f>
        <v/>
      </c>
      <c r="BH7" s="13">
        <f>BG8*前提条件!$E$8</f>
        <v/>
      </c>
      <c r="BI7" s="13">
        <f>BH8*前提条件!$E$8</f>
        <v/>
      </c>
      <c r="BJ7" s="13">
        <f>BI8*前提条件!$E$8</f>
        <v/>
      </c>
    </row>
    <row r="8">
      <c r="A8" t="inlineStr">
        <is>
          <t>有料店舗数</t>
        </is>
      </c>
      <c r="C8" s="13">
        <f>C6-C7</f>
        <v/>
      </c>
      <c r="D8" s="13">
        <f>C8+D6-D7</f>
        <v/>
      </c>
      <c r="E8" s="13">
        <f>D8+E6-E7</f>
        <v/>
      </c>
      <c r="F8" s="13">
        <f>E8+F6-F7</f>
        <v/>
      </c>
      <c r="G8" s="13">
        <f>F8+G6-G7</f>
        <v/>
      </c>
      <c r="H8" s="13">
        <f>G8+H6-H7</f>
        <v/>
      </c>
      <c r="I8" s="13">
        <f>H8+I6-I7</f>
        <v/>
      </c>
      <c r="J8" s="13">
        <f>I8+J6-J7</f>
        <v/>
      </c>
      <c r="K8" s="13">
        <f>J8+K6-K7</f>
        <v/>
      </c>
      <c r="L8" s="13">
        <f>K8+L6-L7</f>
        <v/>
      </c>
      <c r="M8" s="13">
        <f>L8+M6-M7</f>
        <v/>
      </c>
      <c r="N8" s="13">
        <f>M8+N6-N7</f>
        <v/>
      </c>
      <c r="O8" s="13">
        <f>N8+O6-O7</f>
        <v/>
      </c>
      <c r="P8" s="13">
        <f>O8+P6-P7</f>
        <v/>
      </c>
      <c r="Q8" s="13">
        <f>P8+Q6-Q7</f>
        <v/>
      </c>
      <c r="R8" s="13">
        <f>Q8+R6-R7</f>
        <v/>
      </c>
      <c r="S8" s="13">
        <f>R8+S6-S7</f>
        <v/>
      </c>
      <c r="T8" s="13">
        <f>S8+T6-T7</f>
        <v/>
      </c>
      <c r="U8" s="13">
        <f>T8+U6-U7</f>
        <v/>
      </c>
      <c r="V8" s="13">
        <f>U8+V6-V7</f>
        <v/>
      </c>
      <c r="W8" s="13">
        <f>V8+W6-W7</f>
        <v/>
      </c>
      <c r="X8" s="13">
        <f>W8+X6-X7</f>
        <v/>
      </c>
      <c r="Y8" s="13">
        <f>X8+Y6-Y7</f>
        <v/>
      </c>
      <c r="Z8" s="13">
        <f>Y8+Z6-Z7</f>
        <v/>
      </c>
      <c r="AA8" s="13">
        <f>Z8+AA6-AA7</f>
        <v/>
      </c>
      <c r="AB8" s="13">
        <f>AA8+AB6-AB7</f>
        <v/>
      </c>
      <c r="AC8" s="13">
        <f>AB8+AC6-AC7</f>
        <v/>
      </c>
      <c r="AD8" s="13">
        <f>AC8+AD6-AD7</f>
        <v/>
      </c>
      <c r="AE8" s="13">
        <f>AD8+AE6-AE7</f>
        <v/>
      </c>
      <c r="AF8" s="13">
        <f>AE8+AF6-AF7</f>
        <v/>
      </c>
      <c r="AG8" s="13">
        <f>AF8+AG6-AG7</f>
        <v/>
      </c>
      <c r="AH8" s="13">
        <f>AG8+AH6-AH7</f>
        <v/>
      </c>
      <c r="AI8" s="13">
        <f>AH8+AI6-AI7</f>
        <v/>
      </c>
      <c r="AJ8" s="13">
        <f>AI8+AJ6-AJ7</f>
        <v/>
      </c>
      <c r="AK8" s="13">
        <f>AJ8+AK6-AK7</f>
        <v/>
      </c>
      <c r="AL8" s="13">
        <f>AK8+AL6-AL7</f>
        <v/>
      </c>
      <c r="AM8" s="13">
        <f>AL8+AM6-AM7</f>
        <v/>
      </c>
      <c r="AN8" s="13">
        <f>AM8+AN6-AN7</f>
        <v/>
      </c>
      <c r="AO8" s="13">
        <f>AN8+AO6-AO7</f>
        <v/>
      </c>
      <c r="AP8" s="13">
        <f>AO8+AP6-AP7</f>
        <v/>
      </c>
      <c r="AQ8" s="13">
        <f>AP8+AQ6-AQ7</f>
        <v/>
      </c>
      <c r="AR8" s="13">
        <f>AQ8+AR6-AR7</f>
        <v/>
      </c>
      <c r="AS8" s="13">
        <f>AR8+AS6-AS7</f>
        <v/>
      </c>
      <c r="AT8" s="13">
        <f>AS8+AT6-AT7</f>
        <v/>
      </c>
      <c r="AU8" s="13">
        <f>AT8+AU6-AU7</f>
        <v/>
      </c>
      <c r="AV8" s="13">
        <f>AU8+AV6-AV7</f>
        <v/>
      </c>
      <c r="AW8" s="13">
        <f>AV8+AW6-AW7</f>
        <v/>
      </c>
      <c r="AX8" s="13">
        <f>AW8+AX6-AX7</f>
        <v/>
      </c>
      <c r="AY8" s="13">
        <f>AX8+AY6-AY7</f>
        <v/>
      </c>
      <c r="AZ8" s="13">
        <f>AY8+AZ6-AZ7</f>
        <v/>
      </c>
      <c r="BA8" s="13">
        <f>AZ8+BA6-BA7</f>
        <v/>
      </c>
      <c r="BB8" s="13">
        <f>BA8+BB6-BB7</f>
        <v/>
      </c>
      <c r="BC8" s="13">
        <f>BB8+BC6-BC7</f>
        <v/>
      </c>
      <c r="BD8" s="13">
        <f>BC8+BD6-BD7</f>
        <v/>
      </c>
      <c r="BE8" s="13">
        <f>BD8+BE6-BE7</f>
        <v/>
      </c>
      <c r="BF8" s="13">
        <f>BE8+BF6-BF7</f>
        <v/>
      </c>
      <c r="BG8" s="13">
        <f>BF8+BG6-BG7</f>
        <v/>
      </c>
      <c r="BH8" s="13">
        <f>BG8+BH6-BH7</f>
        <v/>
      </c>
      <c r="BI8" s="13">
        <f>BH8+BI6-BI7</f>
        <v/>
      </c>
      <c r="BJ8" s="13">
        <f>BI8+BJ6-BJ7</f>
        <v/>
      </c>
    </row>
    <row r="9">
      <c r="A9" t="inlineStr">
        <is>
          <t>トライアル中店舗</t>
        </is>
      </c>
      <c r="C9" s="13">
        <f>SUM(C5:C5)</f>
        <v/>
      </c>
      <c r="D9" s="13">
        <f>SUM(C5:D5)</f>
        <v/>
      </c>
      <c r="E9" s="13">
        <f>SUM(C5:E5)</f>
        <v/>
      </c>
      <c r="F9" s="13">
        <f>SUM(D5:F5)</f>
        <v/>
      </c>
      <c r="G9" s="13">
        <f>SUM(E5:G5)</f>
        <v/>
      </c>
      <c r="H9" s="13">
        <f>SUM(F5:H5)</f>
        <v/>
      </c>
      <c r="I9" s="13">
        <f>SUM(G5:I5)</f>
        <v/>
      </c>
      <c r="J9" s="13">
        <f>SUM(H5:J5)</f>
        <v/>
      </c>
      <c r="K9" s="13">
        <f>SUM(I5:K5)</f>
        <v/>
      </c>
      <c r="L9" s="13">
        <f>SUM(J5:L5)</f>
        <v/>
      </c>
      <c r="M9" s="13">
        <f>SUM(K5:M5)</f>
        <v/>
      </c>
      <c r="N9" s="13">
        <f>SUM(L5:N5)</f>
        <v/>
      </c>
      <c r="O9" s="13">
        <f>SUM(M5:O5)</f>
        <v/>
      </c>
      <c r="P9" s="13">
        <f>SUM(N5:P5)</f>
        <v/>
      </c>
      <c r="Q9" s="13">
        <f>SUM(O5:Q5)</f>
        <v/>
      </c>
      <c r="R9" s="13">
        <f>SUM(P5:R5)</f>
        <v/>
      </c>
      <c r="S9" s="13">
        <f>SUM(Q5:S5)</f>
        <v/>
      </c>
      <c r="T9" s="13">
        <f>SUM(R5:T5)</f>
        <v/>
      </c>
      <c r="U9" s="13">
        <f>SUM(S5:U5)</f>
        <v/>
      </c>
      <c r="V9" s="13">
        <f>SUM(T5:V5)</f>
        <v/>
      </c>
      <c r="W9" s="13">
        <f>SUM(U5:W5)</f>
        <v/>
      </c>
      <c r="X9" s="13">
        <f>SUM(V5:X5)</f>
        <v/>
      </c>
      <c r="Y9" s="13">
        <f>SUM(W5:Y5)</f>
        <v/>
      </c>
      <c r="Z9" s="13">
        <f>SUM(X5:Z5)</f>
        <v/>
      </c>
      <c r="AA9" s="13">
        <f>SUM(Y5:AA5)</f>
        <v/>
      </c>
      <c r="AB9" s="13">
        <f>SUM(Z5:AB5)</f>
        <v/>
      </c>
      <c r="AC9" s="13">
        <f>SUM(AA5:AC5)</f>
        <v/>
      </c>
      <c r="AD9" s="13">
        <f>SUM(AB5:AD5)</f>
        <v/>
      </c>
      <c r="AE9" s="13">
        <f>SUM(AC5:AE5)</f>
        <v/>
      </c>
      <c r="AF9" s="13">
        <f>SUM(AD5:AF5)</f>
        <v/>
      </c>
      <c r="AG9" s="13">
        <f>SUM(AE5:AG5)</f>
        <v/>
      </c>
      <c r="AH9" s="13">
        <f>SUM(AF5:AH5)</f>
        <v/>
      </c>
      <c r="AI9" s="13">
        <f>SUM(AG5:AI5)</f>
        <v/>
      </c>
      <c r="AJ9" s="13">
        <f>SUM(AH5:AJ5)</f>
        <v/>
      </c>
      <c r="AK9" s="13">
        <f>SUM(AI5:AK5)</f>
        <v/>
      </c>
      <c r="AL9" s="13">
        <f>SUM(AJ5:AL5)</f>
        <v/>
      </c>
      <c r="AM9" s="13">
        <f>SUM(AK5:AM5)</f>
        <v/>
      </c>
      <c r="AN9" s="13">
        <f>SUM(AL5:AN5)</f>
        <v/>
      </c>
      <c r="AO9" s="13">
        <f>SUM(AM5:AO5)</f>
        <v/>
      </c>
      <c r="AP9" s="13">
        <f>SUM(AN5:AP5)</f>
        <v/>
      </c>
      <c r="AQ9" s="13">
        <f>SUM(AO5:AQ5)</f>
        <v/>
      </c>
      <c r="AR9" s="13">
        <f>SUM(AP5:AR5)</f>
        <v/>
      </c>
      <c r="AS9" s="13">
        <f>SUM(AQ5:AS5)</f>
        <v/>
      </c>
      <c r="AT9" s="13">
        <f>SUM(AR5:AT5)</f>
        <v/>
      </c>
      <c r="AU9" s="13">
        <f>SUM(AS5:AU5)</f>
        <v/>
      </c>
      <c r="AV9" s="13">
        <f>SUM(AT5:AV5)</f>
        <v/>
      </c>
      <c r="AW9" s="13">
        <f>SUM(AU5:AW5)</f>
        <v/>
      </c>
      <c r="AX9" s="13">
        <f>SUM(AV5:AX5)</f>
        <v/>
      </c>
      <c r="AY9" s="13">
        <f>SUM(AW5:AY5)</f>
        <v/>
      </c>
      <c r="AZ9" s="13">
        <f>SUM(AX5:AZ5)</f>
        <v/>
      </c>
      <c r="BA9" s="13">
        <f>SUM(AY5:BA5)</f>
        <v/>
      </c>
      <c r="BB9" s="13">
        <f>SUM(AZ5:BB5)</f>
        <v/>
      </c>
      <c r="BC9" s="13">
        <f>SUM(BA5:BC5)</f>
        <v/>
      </c>
      <c r="BD9" s="13">
        <f>SUM(BB5:BD5)</f>
        <v/>
      </c>
      <c r="BE9" s="13">
        <f>SUM(BC5:BE5)</f>
        <v/>
      </c>
      <c r="BF9" s="13">
        <f>SUM(BD5:BF5)</f>
        <v/>
      </c>
      <c r="BG9" s="13">
        <f>SUM(BE5:BG5)</f>
        <v/>
      </c>
      <c r="BH9" s="13">
        <f>SUM(BF5:BH5)</f>
        <v/>
      </c>
      <c r="BI9" s="13">
        <f>SUM(BG5:BI5)</f>
        <v/>
      </c>
      <c r="BJ9" s="13">
        <f>SUM(BH5:BJ5)</f>
        <v/>
      </c>
    </row>
    <row r="10">
      <c r="A10" t="inlineStr">
        <is>
          <t>平均月額</t>
        </is>
      </c>
      <c r="C10" s="13">
        <f>前提条件!$E$15</f>
        <v/>
      </c>
      <c r="D10" s="13">
        <f>前提条件!$E$15</f>
        <v/>
      </c>
      <c r="E10" s="13">
        <f>前提条件!$E$15</f>
        <v/>
      </c>
      <c r="F10" s="13">
        <f>前提条件!$E$15</f>
        <v/>
      </c>
      <c r="G10" s="13">
        <f>前提条件!$E$15</f>
        <v/>
      </c>
      <c r="H10" s="13">
        <f>前提条件!$E$15</f>
        <v/>
      </c>
      <c r="I10" s="13">
        <f>前提条件!$E$15</f>
        <v/>
      </c>
      <c r="J10" s="13">
        <f>前提条件!$E$15</f>
        <v/>
      </c>
      <c r="K10" s="13">
        <f>前提条件!$E$15</f>
        <v/>
      </c>
      <c r="L10" s="13">
        <f>前提条件!$E$15</f>
        <v/>
      </c>
      <c r="M10" s="13">
        <f>前提条件!$E$15</f>
        <v/>
      </c>
      <c r="N10" s="13">
        <f>前提条件!$E$15</f>
        <v/>
      </c>
      <c r="O10" s="13">
        <f>前提条件!$E$15</f>
        <v/>
      </c>
      <c r="P10" s="13">
        <f>前提条件!$E$15</f>
        <v/>
      </c>
      <c r="Q10" s="13">
        <f>前提条件!$E$15</f>
        <v/>
      </c>
      <c r="R10" s="13">
        <f>前提条件!$E$15</f>
        <v/>
      </c>
      <c r="S10" s="13">
        <f>前提条件!$E$15</f>
        <v/>
      </c>
      <c r="T10" s="13">
        <f>前提条件!$E$15</f>
        <v/>
      </c>
      <c r="U10" s="13">
        <f>前提条件!$E$15</f>
        <v/>
      </c>
      <c r="V10" s="13">
        <f>前提条件!$E$15</f>
        <v/>
      </c>
      <c r="W10" s="13">
        <f>前提条件!$E$15</f>
        <v/>
      </c>
      <c r="X10" s="13">
        <f>前提条件!$E$15</f>
        <v/>
      </c>
      <c r="Y10" s="13">
        <f>前提条件!$E$15</f>
        <v/>
      </c>
      <c r="Z10" s="13">
        <f>前提条件!$E$15</f>
        <v/>
      </c>
      <c r="AA10" s="13">
        <f>前提条件!$E$15</f>
        <v/>
      </c>
      <c r="AB10" s="13">
        <f>前提条件!$E$15</f>
        <v/>
      </c>
      <c r="AC10" s="13">
        <f>前提条件!$E$15</f>
        <v/>
      </c>
      <c r="AD10" s="13">
        <f>前提条件!$E$15</f>
        <v/>
      </c>
      <c r="AE10" s="13">
        <f>前提条件!$E$15</f>
        <v/>
      </c>
      <c r="AF10" s="13">
        <f>前提条件!$E$15</f>
        <v/>
      </c>
      <c r="AG10" s="13">
        <f>前提条件!$E$15</f>
        <v/>
      </c>
      <c r="AH10" s="13">
        <f>前提条件!$E$15</f>
        <v/>
      </c>
      <c r="AI10" s="13">
        <f>前提条件!$E$15</f>
        <v/>
      </c>
      <c r="AJ10" s="13">
        <f>前提条件!$E$15</f>
        <v/>
      </c>
      <c r="AK10" s="13">
        <f>前提条件!$E$15</f>
        <v/>
      </c>
      <c r="AL10" s="13">
        <f>前提条件!$E$15</f>
        <v/>
      </c>
      <c r="AM10" s="13">
        <f>前提条件!$E$15</f>
        <v/>
      </c>
      <c r="AN10" s="13">
        <f>前提条件!$E$15</f>
        <v/>
      </c>
      <c r="AO10" s="13">
        <f>前提条件!$E$15</f>
        <v/>
      </c>
      <c r="AP10" s="13">
        <f>前提条件!$E$15</f>
        <v/>
      </c>
      <c r="AQ10" s="13">
        <f>前提条件!$E$15</f>
        <v/>
      </c>
      <c r="AR10" s="13">
        <f>前提条件!$E$15</f>
        <v/>
      </c>
      <c r="AS10" s="13">
        <f>前提条件!$E$15</f>
        <v/>
      </c>
      <c r="AT10" s="13">
        <f>前提条件!$E$15</f>
        <v/>
      </c>
      <c r="AU10" s="13">
        <f>前提条件!$E$15</f>
        <v/>
      </c>
      <c r="AV10" s="13">
        <f>前提条件!$E$15</f>
        <v/>
      </c>
      <c r="AW10" s="13">
        <f>前提条件!$E$15</f>
        <v/>
      </c>
      <c r="AX10" s="13">
        <f>前提条件!$E$15</f>
        <v/>
      </c>
      <c r="AY10" s="13">
        <f>前提条件!$E$15</f>
        <v/>
      </c>
      <c r="AZ10" s="13">
        <f>前提条件!$E$15</f>
        <v/>
      </c>
      <c r="BA10" s="13">
        <f>前提条件!$E$15</f>
        <v/>
      </c>
      <c r="BB10" s="13">
        <f>前提条件!$E$15</f>
        <v/>
      </c>
      <c r="BC10" s="13">
        <f>前提条件!$E$15</f>
        <v/>
      </c>
      <c r="BD10" s="13">
        <f>前提条件!$E$15</f>
        <v/>
      </c>
      <c r="BE10" s="13">
        <f>前提条件!$E$15</f>
        <v/>
      </c>
      <c r="BF10" s="13">
        <f>前提条件!$E$15</f>
        <v/>
      </c>
      <c r="BG10" s="13">
        <f>前提条件!$E$15</f>
        <v/>
      </c>
      <c r="BH10" s="13">
        <f>前提条件!$E$15</f>
        <v/>
      </c>
      <c r="BI10" s="13">
        <f>前提条件!$E$15</f>
        <v/>
      </c>
      <c r="BJ10" s="13">
        <f>前提条件!$E$15</f>
        <v/>
      </c>
    </row>
    <row r="11">
      <c r="A11" t="inlineStr">
        <is>
          <t>サブスク売上</t>
        </is>
      </c>
      <c r="C11" s="13">
        <f>C8*C10</f>
        <v/>
      </c>
      <c r="D11" s="13">
        <f>D8*D10</f>
        <v/>
      </c>
      <c r="E11" s="13">
        <f>E8*E10</f>
        <v/>
      </c>
      <c r="F11" s="13">
        <f>F8*F10</f>
        <v/>
      </c>
      <c r="G11" s="13">
        <f>G8*G10</f>
        <v/>
      </c>
      <c r="H11" s="13">
        <f>H8*H10</f>
        <v/>
      </c>
      <c r="I11" s="13">
        <f>I8*I10</f>
        <v/>
      </c>
      <c r="J11" s="13">
        <f>J8*J10</f>
        <v/>
      </c>
      <c r="K11" s="13">
        <f>K8*K10</f>
        <v/>
      </c>
      <c r="L11" s="13">
        <f>L8*L10</f>
        <v/>
      </c>
      <c r="M11" s="13">
        <f>M8*M10</f>
        <v/>
      </c>
      <c r="N11" s="13">
        <f>N8*N10</f>
        <v/>
      </c>
      <c r="O11" s="13">
        <f>O8*O10</f>
        <v/>
      </c>
      <c r="P11" s="13">
        <f>P8*P10</f>
        <v/>
      </c>
      <c r="Q11" s="13">
        <f>Q8*Q10</f>
        <v/>
      </c>
      <c r="R11" s="13">
        <f>R8*R10</f>
        <v/>
      </c>
      <c r="S11" s="13">
        <f>S8*S10</f>
        <v/>
      </c>
      <c r="T11" s="13">
        <f>T8*T10</f>
        <v/>
      </c>
      <c r="U11" s="13">
        <f>U8*U10</f>
        <v/>
      </c>
      <c r="V11" s="13">
        <f>V8*V10</f>
        <v/>
      </c>
      <c r="W11" s="13">
        <f>W8*W10</f>
        <v/>
      </c>
      <c r="X11" s="13">
        <f>X8*X10</f>
        <v/>
      </c>
      <c r="Y11" s="13">
        <f>Y8*Y10</f>
        <v/>
      </c>
      <c r="Z11" s="13">
        <f>Z8*Z10</f>
        <v/>
      </c>
      <c r="AA11" s="13">
        <f>AA8*AA10</f>
        <v/>
      </c>
      <c r="AB11" s="13">
        <f>AB8*AB10</f>
        <v/>
      </c>
      <c r="AC11" s="13">
        <f>AC8*AC10</f>
        <v/>
      </c>
      <c r="AD11" s="13">
        <f>AD8*AD10</f>
        <v/>
      </c>
      <c r="AE11" s="13">
        <f>AE8*AE10</f>
        <v/>
      </c>
      <c r="AF11" s="13">
        <f>AF8*AF10</f>
        <v/>
      </c>
      <c r="AG11" s="13">
        <f>AG8*AG10</f>
        <v/>
      </c>
      <c r="AH11" s="13">
        <f>AH8*AH10</f>
        <v/>
      </c>
      <c r="AI11" s="13">
        <f>AI8*AI10</f>
        <v/>
      </c>
      <c r="AJ11" s="13">
        <f>AJ8*AJ10</f>
        <v/>
      </c>
      <c r="AK11" s="13">
        <f>AK8*AK10</f>
        <v/>
      </c>
      <c r="AL11" s="13">
        <f>AL8*AL10</f>
        <v/>
      </c>
      <c r="AM11" s="13">
        <f>AM8*AM10</f>
        <v/>
      </c>
      <c r="AN11" s="13">
        <f>AN8*AN10</f>
        <v/>
      </c>
      <c r="AO11" s="13">
        <f>AO8*AO10</f>
        <v/>
      </c>
      <c r="AP11" s="13">
        <f>AP8*AP10</f>
        <v/>
      </c>
      <c r="AQ11" s="13">
        <f>AQ8*AQ10</f>
        <v/>
      </c>
      <c r="AR11" s="13">
        <f>AR8*AR10</f>
        <v/>
      </c>
      <c r="AS11" s="13">
        <f>AS8*AS10</f>
        <v/>
      </c>
      <c r="AT11" s="13">
        <f>AT8*AT10</f>
        <v/>
      </c>
      <c r="AU11" s="13">
        <f>AU8*AU10</f>
        <v/>
      </c>
      <c r="AV11" s="13">
        <f>AV8*AV10</f>
        <v/>
      </c>
      <c r="AW11" s="13">
        <f>AW8*AW10</f>
        <v/>
      </c>
      <c r="AX11" s="13">
        <f>AX8*AX10</f>
        <v/>
      </c>
      <c r="AY11" s="13">
        <f>AY8*AY10</f>
        <v/>
      </c>
      <c r="AZ11" s="13">
        <f>AZ8*AZ10</f>
        <v/>
      </c>
      <c r="BA11" s="13">
        <f>BA8*BA10</f>
        <v/>
      </c>
      <c r="BB11" s="13">
        <f>BB8*BB10</f>
        <v/>
      </c>
      <c r="BC11" s="13">
        <f>BC8*BC10</f>
        <v/>
      </c>
      <c r="BD11" s="13">
        <f>BD8*BD10</f>
        <v/>
      </c>
      <c r="BE11" s="13">
        <f>BE8*BE10</f>
        <v/>
      </c>
      <c r="BF11" s="13">
        <f>BF8*BF10</f>
        <v/>
      </c>
      <c r="BG11" s="13">
        <f>BG8*BG10</f>
        <v/>
      </c>
      <c r="BH11" s="13">
        <f>BH8*BH10</f>
        <v/>
      </c>
      <c r="BI11" s="13">
        <f>BI8*BI10</f>
        <v/>
      </c>
      <c r="BJ11" s="13">
        <f>BJ8*BJ10</f>
        <v/>
      </c>
    </row>
    <row r="12">
      <c r="A12" t="inlineStr">
        <is>
          <t>成功報酬売上</t>
        </is>
      </c>
      <c r="C12" s="13">
        <f>C8*前提条件!$E$16*前提条件!$E$17</f>
        <v/>
      </c>
      <c r="D12" s="13">
        <f>D8*前提条件!$E$16*前提条件!$E$17</f>
        <v/>
      </c>
      <c r="E12" s="13">
        <f>E8*前提条件!$E$16*前提条件!$E$17</f>
        <v/>
      </c>
      <c r="F12" s="13">
        <f>F8*前提条件!$E$16*前提条件!$E$17</f>
        <v/>
      </c>
      <c r="G12" s="13">
        <f>G8*前提条件!$E$16*前提条件!$E$17</f>
        <v/>
      </c>
      <c r="H12" s="13">
        <f>H8*前提条件!$E$16*前提条件!$E$17</f>
        <v/>
      </c>
      <c r="I12" s="13">
        <f>I8*前提条件!$E$16*前提条件!$E$17</f>
        <v/>
      </c>
      <c r="J12" s="13">
        <f>J8*前提条件!$E$16*前提条件!$E$17</f>
        <v/>
      </c>
      <c r="K12" s="13">
        <f>K8*前提条件!$E$16*前提条件!$E$17</f>
        <v/>
      </c>
      <c r="L12" s="13">
        <f>L8*前提条件!$E$16*前提条件!$E$17</f>
        <v/>
      </c>
      <c r="M12" s="13">
        <f>M8*前提条件!$E$16*前提条件!$E$17</f>
        <v/>
      </c>
      <c r="N12" s="13">
        <f>N8*前提条件!$E$16*前提条件!$E$17</f>
        <v/>
      </c>
      <c r="O12" s="13">
        <f>O8*前提条件!$E$16*前提条件!$E$17</f>
        <v/>
      </c>
      <c r="P12" s="13">
        <f>P8*前提条件!$E$16*前提条件!$E$17</f>
        <v/>
      </c>
      <c r="Q12" s="13">
        <f>Q8*前提条件!$E$16*前提条件!$E$17</f>
        <v/>
      </c>
      <c r="R12" s="13">
        <f>R8*前提条件!$E$16*前提条件!$E$17</f>
        <v/>
      </c>
      <c r="S12" s="13">
        <f>S8*前提条件!$E$16*前提条件!$E$17</f>
        <v/>
      </c>
      <c r="T12" s="13">
        <f>T8*前提条件!$E$16*前提条件!$E$17</f>
        <v/>
      </c>
      <c r="U12" s="13">
        <f>U8*前提条件!$E$16*前提条件!$E$17</f>
        <v/>
      </c>
      <c r="V12" s="13">
        <f>V8*前提条件!$E$16*前提条件!$E$17</f>
        <v/>
      </c>
      <c r="W12" s="13">
        <f>W8*前提条件!$E$16*前提条件!$E$17</f>
        <v/>
      </c>
      <c r="X12" s="13">
        <f>X8*前提条件!$E$16*前提条件!$E$17</f>
        <v/>
      </c>
      <c r="Y12" s="13">
        <f>Y8*前提条件!$E$16*前提条件!$E$17</f>
        <v/>
      </c>
      <c r="Z12" s="13">
        <f>Z8*前提条件!$E$16*前提条件!$E$17</f>
        <v/>
      </c>
      <c r="AA12" s="13">
        <f>AA8*前提条件!$E$16*前提条件!$E$17</f>
        <v/>
      </c>
      <c r="AB12" s="13">
        <f>AB8*前提条件!$E$16*前提条件!$E$17</f>
        <v/>
      </c>
      <c r="AC12" s="13">
        <f>AC8*前提条件!$E$16*前提条件!$E$17</f>
        <v/>
      </c>
      <c r="AD12" s="13">
        <f>AD8*前提条件!$E$16*前提条件!$E$17</f>
        <v/>
      </c>
      <c r="AE12" s="13">
        <f>AE8*前提条件!$E$16*前提条件!$E$17</f>
        <v/>
      </c>
      <c r="AF12" s="13">
        <f>AF8*前提条件!$E$16*前提条件!$E$17</f>
        <v/>
      </c>
      <c r="AG12" s="13">
        <f>AG8*前提条件!$E$16*前提条件!$E$17</f>
        <v/>
      </c>
      <c r="AH12" s="13">
        <f>AH8*前提条件!$E$16*前提条件!$E$17</f>
        <v/>
      </c>
      <c r="AI12" s="13">
        <f>AI8*前提条件!$E$16*前提条件!$E$17</f>
        <v/>
      </c>
      <c r="AJ12" s="13">
        <f>AJ8*前提条件!$E$16*前提条件!$E$17</f>
        <v/>
      </c>
      <c r="AK12" s="13">
        <f>AK8*前提条件!$E$16*前提条件!$E$17</f>
        <v/>
      </c>
      <c r="AL12" s="13">
        <f>AL8*前提条件!$E$16*前提条件!$E$17</f>
        <v/>
      </c>
      <c r="AM12" s="13">
        <f>AM8*前提条件!$E$16*前提条件!$E$17</f>
        <v/>
      </c>
      <c r="AN12" s="13">
        <f>AN8*前提条件!$E$16*前提条件!$E$17</f>
        <v/>
      </c>
      <c r="AO12" s="13">
        <f>AO8*前提条件!$E$16*前提条件!$E$17</f>
        <v/>
      </c>
      <c r="AP12" s="13">
        <f>AP8*前提条件!$E$16*前提条件!$E$17</f>
        <v/>
      </c>
      <c r="AQ12" s="13">
        <f>AQ8*前提条件!$E$16*前提条件!$E$17</f>
        <v/>
      </c>
      <c r="AR12" s="13">
        <f>AR8*前提条件!$E$16*前提条件!$E$17</f>
        <v/>
      </c>
      <c r="AS12" s="13">
        <f>AS8*前提条件!$E$16*前提条件!$E$17</f>
        <v/>
      </c>
      <c r="AT12" s="13">
        <f>AT8*前提条件!$E$16*前提条件!$E$17</f>
        <v/>
      </c>
      <c r="AU12" s="13">
        <f>AU8*前提条件!$E$16*前提条件!$E$17</f>
        <v/>
      </c>
      <c r="AV12" s="13">
        <f>AV8*前提条件!$E$16*前提条件!$E$17</f>
        <v/>
      </c>
      <c r="AW12" s="13">
        <f>AW8*前提条件!$E$16*前提条件!$E$17</f>
        <v/>
      </c>
      <c r="AX12" s="13">
        <f>AX8*前提条件!$E$16*前提条件!$E$17</f>
        <v/>
      </c>
      <c r="AY12" s="13">
        <f>AY8*前提条件!$E$16*前提条件!$E$17</f>
        <v/>
      </c>
      <c r="AZ12" s="13">
        <f>AZ8*前提条件!$E$16*前提条件!$E$17</f>
        <v/>
      </c>
      <c r="BA12" s="13">
        <f>BA8*前提条件!$E$16*前提条件!$E$17</f>
        <v/>
      </c>
      <c r="BB12" s="13">
        <f>BB8*前提条件!$E$16*前提条件!$E$17</f>
        <v/>
      </c>
      <c r="BC12" s="13">
        <f>BC8*前提条件!$E$16*前提条件!$E$17</f>
        <v/>
      </c>
      <c r="BD12" s="13">
        <f>BD8*前提条件!$E$16*前提条件!$E$17</f>
        <v/>
      </c>
      <c r="BE12" s="13">
        <f>BE8*前提条件!$E$16*前提条件!$E$17</f>
        <v/>
      </c>
      <c r="BF12" s="13">
        <f>BF8*前提条件!$E$16*前提条件!$E$17</f>
        <v/>
      </c>
      <c r="BG12" s="13">
        <f>BG8*前提条件!$E$16*前提条件!$E$17</f>
        <v/>
      </c>
      <c r="BH12" s="13">
        <f>BH8*前提条件!$E$16*前提条件!$E$17</f>
        <v/>
      </c>
      <c r="BI12" s="13">
        <f>BI8*前提条件!$E$16*前提条件!$E$17</f>
        <v/>
      </c>
      <c r="BJ12" s="13">
        <f>BJ8*前提条件!$E$16*前提条件!$E$17</f>
        <v/>
      </c>
    </row>
    <row r="13">
      <c r="A13" s="5" t="inlineStr">
        <is>
          <t>売上合計</t>
        </is>
      </c>
      <c r="B13" s="5" t="n"/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  <c r="M13" s="14">
        <f>M11+M12</f>
        <v/>
      </c>
      <c r="N13" s="14">
        <f>N11+N12</f>
        <v/>
      </c>
      <c r="O13" s="14">
        <f>O11+O12</f>
        <v/>
      </c>
      <c r="P13" s="14">
        <f>P11+P12</f>
        <v/>
      </c>
      <c r="Q13" s="14">
        <f>Q11+Q12</f>
        <v/>
      </c>
      <c r="R13" s="14">
        <f>R11+R12</f>
        <v/>
      </c>
      <c r="S13" s="14">
        <f>S11+S12</f>
        <v/>
      </c>
      <c r="T13" s="14">
        <f>T11+T12</f>
        <v/>
      </c>
      <c r="U13" s="14">
        <f>U11+U12</f>
        <v/>
      </c>
      <c r="V13" s="14">
        <f>V11+V12</f>
        <v/>
      </c>
      <c r="W13" s="14">
        <f>W11+W12</f>
        <v/>
      </c>
      <c r="X13" s="14">
        <f>X11+X12</f>
        <v/>
      </c>
      <c r="Y13" s="14">
        <f>Y11+Y12</f>
        <v/>
      </c>
      <c r="Z13" s="14">
        <f>Z11+Z12</f>
        <v/>
      </c>
      <c r="AA13" s="14">
        <f>AA11+AA12</f>
        <v/>
      </c>
      <c r="AB13" s="14">
        <f>AB11+AB12</f>
        <v/>
      </c>
      <c r="AC13" s="14">
        <f>AC11+AC12</f>
        <v/>
      </c>
      <c r="AD13" s="14">
        <f>AD11+AD12</f>
        <v/>
      </c>
      <c r="AE13" s="14">
        <f>AE11+AE12</f>
        <v/>
      </c>
      <c r="AF13" s="14">
        <f>AF11+AF12</f>
        <v/>
      </c>
      <c r="AG13" s="14">
        <f>AG11+AG12</f>
        <v/>
      </c>
      <c r="AH13" s="14">
        <f>AH11+AH12</f>
        <v/>
      </c>
      <c r="AI13" s="14">
        <f>AI11+AI12</f>
        <v/>
      </c>
      <c r="AJ13" s="14">
        <f>AJ11+AJ12</f>
        <v/>
      </c>
      <c r="AK13" s="14">
        <f>AK11+AK12</f>
        <v/>
      </c>
      <c r="AL13" s="14">
        <f>AL11+AL12</f>
        <v/>
      </c>
      <c r="AM13" s="14">
        <f>AM11+AM12</f>
        <v/>
      </c>
      <c r="AN13" s="14">
        <f>AN11+AN12</f>
        <v/>
      </c>
      <c r="AO13" s="14">
        <f>AO11+AO12</f>
        <v/>
      </c>
      <c r="AP13" s="14">
        <f>AP11+AP12</f>
        <v/>
      </c>
      <c r="AQ13" s="14">
        <f>AQ11+AQ12</f>
        <v/>
      </c>
      <c r="AR13" s="14">
        <f>AR11+AR12</f>
        <v/>
      </c>
      <c r="AS13" s="14">
        <f>AS11+AS12</f>
        <v/>
      </c>
      <c r="AT13" s="14">
        <f>AT11+AT12</f>
        <v/>
      </c>
      <c r="AU13" s="14">
        <f>AU11+AU12</f>
        <v/>
      </c>
      <c r="AV13" s="14">
        <f>AV11+AV12</f>
        <v/>
      </c>
      <c r="AW13" s="14">
        <f>AW11+AW12</f>
        <v/>
      </c>
      <c r="AX13" s="14">
        <f>AX11+AX12</f>
        <v/>
      </c>
      <c r="AY13" s="14">
        <f>AY11+AY12</f>
        <v/>
      </c>
      <c r="AZ13" s="14">
        <f>AZ11+AZ12</f>
        <v/>
      </c>
      <c r="BA13" s="14">
        <f>BA11+BA12</f>
        <v/>
      </c>
      <c r="BB13" s="14">
        <f>BB11+BB12</f>
        <v/>
      </c>
      <c r="BC13" s="14">
        <f>BC11+BC12</f>
        <v/>
      </c>
      <c r="BD13" s="14">
        <f>BD11+BD12</f>
        <v/>
      </c>
      <c r="BE13" s="14">
        <f>BE11+BE12</f>
        <v/>
      </c>
      <c r="BF13" s="14">
        <f>BF11+BF12</f>
        <v/>
      </c>
      <c r="BG13" s="14">
        <f>BG11+BG12</f>
        <v/>
      </c>
      <c r="BH13" s="14">
        <f>BH11+BH12</f>
        <v/>
      </c>
      <c r="BI13" s="14">
        <f>BI11+BI12</f>
        <v/>
      </c>
      <c r="BJ13" s="13">
        <f>BJ11+BJ12</f>
        <v/>
      </c>
    </row>
    <row r="14">
      <c r="A14" t="inlineStr">
        <is>
          <t>決済手数料</t>
        </is>
      </c>
      <c r="C14" s="13">
        <f>C13*前提条件!$E$18</f>
        <v/>
      </c>
      <c r="D14" s="13">
        <f>D13*前提条件!$E$18</f>
        <v/>
      </c>
      <c r="E14" s="13">
        <f>E13*前提条件!$E$18</f>
        <v/>
      </c>
      <c r="F14" s="13">
        <f>F13*前提条件!$E$18</f>
        <v/>
      </c>
      <c r="G14" s="13">
        <f>G13*前提条件!$E$18</f>
        <v/>
      </c>
      <c r="H14" s="13">
        <f>H13*前提条件!$E$18</f>
        <v/>
      </c>
      <c r="I14" s="13">
        <f>I13*前提条件!$E$18</f>
        <v/>
      </c>
      <c r="J14" s="13">
        <f>J13*前提条件!$E$18</f>
        <v/>
      </c>
      <c r="K14" s="13">
        <f>K13*前提条件!$E$18</f>
        <v/>
      </c>
      <c r="L14" s="13">
        <f>L13*前提条件!$E$18</f>
        <v/>
      </c>
      <c r="M14" s="13">
        <f>M13*前提条件!$E$18</f>
        <v/>
      </c>
      <c r="N14" s="13">
        <f>N13*前提条件!$E$18</f>
        <v/>
      </c>
      <c r="O14" s="13">
        <f>O13*前提条件!$E$18</f>
        <v/>
      </c>
      <c r="P14" s="13">
        <f>P13*前提条件!$E$18</f>
        <v/>
      </c>
      <c r="Q14" s="13">
        <f>Q13*前提条件!$E$18</f>
        <v/>
      </c>
      <c r="R14" s="13">
        <f>R13*前提条件!$E$18</f>
        <v/>
      </c>
      <c r="S14" s="13">
        <f>S13*前提条件!$E$18</f>
        <v/>
      </c>
      <c r="T14" s="13">
        <f>T13*前提条件!$E$18</f>
        <v/>
      </c>
      <c r="U14" s="13">
        <f>U13*前提条件!$E$18</f>
        <v/>
      </c>
      <c r="V14" s="13">
        <f>V13*前提条件!$E$18</f>
        <v/>
      </c>
      <c r="W14" s="13">
        <f>W13*前提条件!$E$18</f>
        <v/>
      </c>
      <c r="X14" s="13">
        <f>X13*前提条件!$E$18</f>
        <v/>
      </c>
      <c r="Y14" s="13">
        <f>Y13*前提条件!$E$18</f>
        <v/>
      </c>
      <c r="Z14" s="13">
        <f>Z13*前提条件!$E$18</f>
        <v/>
      </c>
      <c r="AA14" s="13">
        <f>AA13*前提条件!$E$18</f>
        <v/>
      </c>
      <c r="AB14" s="13">
        <f>AB13*前提条件!$E$18</f>
        <v/>
      </c>
      <c r="AC14" s="13">
        <f>AC13*前提条件!$E$18</f>
        <v/>
      </c>
      <c r="AD14" s="13">
        <f>AD13*前提条件!$E$18</f>
        <v/>
      </c>
      <c r="AE14" s="13">
        <f>AE13*前提条件!$E$18</f>
        <v/>
      </c>
      <c r="AF14" s="13">
        <f>AF13*前提条件!$E$18</f>
        <v/>
      </c>
      <c r="AG14" s="13">
        <f>AG13*前提条件!$E$18</f>
        <v/>
      </c>
      <c r="AH14" s="13">
        <f>AH13*前提条件!$E$18</f>
        <v/>
      </c>
      <c r="AI14" s="13">
        <f>AI13*前提条件!$E$18</f>
        <v/>
      </c>
      <c r="AJ14" s="13">
        <f>AJ13*前提条件!$E$18</f>
        <v/>
      </c>
      <c r="AK14" s="13">
        <f>AK13*前提条件!$E$18</f>
        <v/>
      </c>
      <c r="AL14" s="13">
        <f>AL13*前提条件!$E$18</f>
        <v/>
      </c>
      <c r="AM14" s="13">
        <f>AM13*前提条件!$E$18</f>
        <v/>
      </c>
      <c r="AN14" s="13">
        <f>AN13*前提条件!$E$18</f>
        <v/>
      </c>
      <c r="AO14" s="13">
        <f>AO13*前提条件!$E$18</f>
        <v/>
      </c>
      <c r="AP14" s="13">
        <f>AP13*前提条件!$E$18</f>
        <v/>
      </c>
      <c r="AQ14" s="13">
        <f>AQ13*前提条件!$E$18</f>
        <v/>
      </c>
      <c r="AR14" s="13">
        <f>AR13*前提条件!$E$18</f>
        <v/>
      </c>
      <c r="AS14" s="13">
        <f>AS13*前提条件!$E$18</f>
        <v/>
      </c>
      <c r="AT14" s="13">
        <f>AT13*前提条件!$E$18</f>
        <v/>
      </c>
      <c r="AU14" s="13">
        <f>AU13*前提条件!$E$18</f>
        <v/>
      </c>
      <c r="AV14" s="13">
        <f>AV13*前提条件!$E$18</f>
        <v/>
      </c>
      <c r="AW14" s="13">
        <f>AW13*前提条件!$E$18</f>
        <v/>
      </c>
      <c r="AX14" s="13">
        <f>AX13*前提条件!$E$18</f>
        <v/>
      </c>
      <c r="AY14" s="13">
        <f>AY13*前提条件!$E$18</f>
        <v/>
      </c>
      <c r="AZ14" s="13">
        <f>AZ13*前提条件!$E$18</f>
        <v/>
      </c>
      <c r="BA14" s="13">
        <f>BA13*前提条件!$E$18</f>
        <v/>
      </c>
      <c r="BB14" s="13">
        <f>BB13*前提条件!$E$18</f>
        <v/>
      </c>
      <c r="BC14" s="13">
        <f>BC13*前提条件!$E$18</f>
        <v/>
      </c>
      <c r="BD14" s="13">
        <f>BD13*前提条件!$E$18</f>
        <v/>
      </c>
      <c r="BE14" s="13">
        <f>BE13*前提条件!$E$18</f>
        <v/>
      </c>
      <c r="BF14" s="13">
        <f>BF13*前提条件!$E$18</f>
        <v/>
      </c>
      <c r="BG14" s="13">
        <f>BG13*前提条件!$E$18</f>
        <v/>
      </c>
      <c r="BH14" s="13">
        <f>BH13*前提条件!$E$18</f>
        <v/>
      </c>
      <c r="BI14" s="13">
        <f>BI13*前提条件!$E$18</f>
        <v/>
      </c>
      <c r="BJ14" s="13">
        <f>BJ13*前提条件!$E$18</f>
        <v/>
      </c>
    </row>
    <row r="15">
      <c r="A15" t="inlineStr">
        <is>
          <t>サーバー・地図API</t>
        </is>
      </c>
      <c r="C15" s="13">
        <f>前提条件!$E$37+前提条件!$E$38*(C8+C9)</f>
        <v/>
      </c>
      <c r="D15" s="13">
        <f>前提条件!$E$37+前提条件!$E$38*(D8+D9)</f>
        <v/>
      </c>
      <c r="E15" s="13">
        <f>前提条件!$E$37+前提条件!$E$38*(E8+E9)</f>
        <v/>
      </c>
      <c r="F15" s="13">
        <f>前提条件!$E$37+前提条件!$E$38*(F8+F9)</f>
        <v/>
      </c>
      <c r="G15" s="13">
        <f>前提条件!$E$37+前提条件!$E$38*(G8+G9)</f>
        <v/>
      </c>
      <c r="H15" s="13">
        <f>前提条件!$E$37+前提条件!$E$38*(H8+H9)</f>
        <v/>
      </c>
      <c r="I15" s="13">
        <f>前提条件!$E$37+前提条件!$E$38*(I8+I9)</f>
        <v/>
      </c>
      <c r="J15" s="13">
        <f>前提条件!$E$37+前提条件!$E$38*(J8+J9)</f>
        <v/>
      </c>
      <c r="K15" s="13">
        <f>前提条件!$E$37+前提条件!$E$38*(K8+K9)</f>
        <v/>
      </c>
      <c r="L15" s="13">
        <f>前提条件!$E$37+前提条件!$E$38*(L8+L9)</f>
        <v/>
      </c>
      <c r="M15" s="13">
        <f>前提条件!$E$37+前提条件!$E$38*(M8+M9)</f>
        <v/>
      </c>
      <c r="N15" s="13">
        <f>前提条件!$E$37+前提条件!$E$38*(N8+N9)</f>
        <v/>
      </c>
      <c r="O15" s="13">
        <f>前提条件!$E$37+前提条件!$E$38*(O8+O9)</f>
        <v/>
      </c>
      <c r="P15" s="13">
        <f>前提条件!$E$37+前提条件!$E$38*(P8+P9)</f>
        <v/>
      </c>
      <c r="Q15" s="13">
        <f>前提条件!$E$37+前提条件!$E$38*(Q8+Q9)</f>
        <v/>
      </c>
      <c r="R15" s="13">
        <f>前提条件!$E$37+前提条件!$E$38*(R8+R9)</f>
        <v/>
      </c>
      <c r="S15" s="13">
        <f>前提条件!$E$37+前提条件!$E$38*(S8+S9)</f>
        <v/>
      </c>
      <c r="T15" s="13">
        <f>前提条件!$E$37+前提条件!$E$38*(T8+T9)</f>
        <v/>
      </c>
      <c r="U15" s="13">
        <f>前提条件!$E$37+前提条件!$E$38*(U8+U9)</f>
        <v/>
      </c>
      <c r="V15" s="13">
        <f>前提条件!$E$37+前提条件!$E$38*(V8+V9)</f>
        <v/>
      </c>
      <c r="W15" s="13">
        <f>前提条件!$E$37+前提条件!$E$38*(W8+W9)</f>
        <v/>
      </c>
      <c r="X15" s="13">
        <f>前提条件!$E$37+前提条件!$E$38*(X8+X9)</f>
        <v/>
      </c>
      <c r="Y15" s="13">
        <f>前提条件!$E$37+前提条件!$E$38*(Y8+Y9)</f>
        <v/>
      </c>
      <c r="Z15" s="13">
        <f>前提条件!$E$37+前提条件!$E$38*(Z8+Z9)</f>
        <v/>
      </c>
      <c r="AA15" s="13">
        <f>前提条件!$E$37+前提条件!$E$38*(AA8+AA9)</f>
        <v/>
      </c>
      <c r="AB15" s="13">
        <f>前提条件!$E$37+前提条件!$E$38*(AB8+AB9)</f>
        <v/>
      </c>
      <c r="AC15" s="13">
        <f>前提条件!$E$37+前提条件!$E$38*(AC8+AC9)</f>
        <v/>
      </c>
      <c r="AD15" s="13">
        <f>前提条件!$E$37+前提条件!$E$38*(AD8+AD9)</f>
        <v/>
      </c>
      <c r="AE15" s="13">
        <f>前提条件!$E$37+前提条件!$E$38*(AE8+AE9)</f>
        <v/>
      </c>
      <c r="AF15" s="13">
        <f>前提条件!$E$37+前提条件!$E$38*(AF8+AF9)</f>
        <v/>
      </c>
      <c r="AG15" s="13">
        <f>前提条件!$E$37+前提条件!$E$38*(AG8+AG9)</f>
        <v/>
      </c>
      <c r="AH15" s="13">
        <f>前提条件!$E$37+前提条件!$E$38*(AH8+AH9)</f>
        <v/>
      </c>
      <c r="AI15" s="13">
        <f>前提条件!$E$37+前提条件!$E$38*(AI8+AI9)</f>
        <v/>
      </c>
      <c r="AJ15" s="13">
        <f>前提条件!$E$37+前提条件!$E$38*(AJ8+AJ9)</f>
        <v/>
      </c>
      <c r="AK15" s="13">
        <f>前提条件!$E$37+前提条件!$E$38*(AK8+AK9)</f>
        <v/>
      </c>
      <c r="AL15" s="13">
        <f>前提条件!$E$37+前提条件!$E$38*(AL8+AL9)</f>
        <v/>
      </c>
      <c r="AM15" s="13">
        <f>前提条件!$E$37+前提条件!$E$38*(AM8+AM9)</f>
        <v/>
      </c>
      <c r="AN15" s="13">
        <f>前提条件!$E$37+前提条件!$E$38*(AN8+AN9)</f>
        <v/>
      </c>
      <c r="AO15" s="13">
        <f>前提条件!$E$37+前提条件!$E$38*(AO8+AO9)</f>
        <v/>
      </c>
      <c r="AP15" s="13">
        <f>前提条件!$E$37+前提条件!$E$38*(AP8+AP9)</f>
        <v/>
      </c>
      <c r="AQ15" s="13">
        <f>前提条件!$E$37+前提条件!$E$38*(AQ8+AQ9)</f>
        <v/>
      </c>
      <c r="AR15" s="13">
        <f>前提条件!$E$37+前提条件!$E$38*(AR8+AR9)</f>
        <v/>
      </c>
      <c r="AS15" s="13">
        <f>前提条件!$E$37+前提条件!$E$38*(AS8+AS9)</f>
        <v/>
      </c>
      <c r="AT15" s="13">
        <f>前提条件!$E$37+前提条件!$E$38*(AT8+AT9)</f>
        <v/>
      </c>
      <c r="AU15" s="13">
        <f>前提条件!$E$37+前提条件!$E$38*(AU8+AU9)</f>
        <v/>
      </c>
      <c r="AV15" s="13">
        <f>前提条件!$E$37+前提条件!$E$38*(AV8+AV9)</f>
        <v/>
      </c>
      <c r="AW15" s="13">
        <f>前提条件!$E$37+前提条件!$E$38*(AW8+AW9)</f>
        <v/>
      </c>
      <c r="AX15" s="13">
        <f>前提条件!$E$37+前提条件!$E$38*(AX8+AX9)</f>
        <v/>
      </c>
      <c r="AY15" s="13">
        <f>前提条件!$E$37+前提条件!$E$38*(AY8+AY9)</f>
        <v/>
      </c>
      <c r="AZ15" s="13">
        <f>前提条件!$E$37+前提条件!$E$38*(AZ8+AZ9)</f>
        <v/>
      </c>
      <c r="BA15" s="13">
        <f>前提条件!$E$37+前提条件!$E$38*(BA8+BA9)</f>
        <v/>
      </c>
      <c r="BB15" s="13">
        <f>前提条件!$E$37+前提条件!$E$38*(BB8+BB9)</f>
        <v/>
      </c>
      <c r="BC15" s="13">
        <f>前提条件!$E$37+前提条件!$E$38*(BC8+BC9)</f>
        <v/>
      </c>
      <c r="BD15" s="13">
        <f>前提条件!$E$37+前提条件!$E$38*(BD8+BD9)</f>
        <v/>
      </c>
      <c r="BE15" s="13">
        <f>前提条件!$E$37+前提条件!$E$38*(BE8+BE9)</f>
        <v/>
      </c>
      <c r="BF15" s="13">
        <f>前提条件!$E$37+前提条件!$E$38*(BF8+BF9)</f>
        <v/>
      </c>
      <c r="BG15" s="13">
        <f>前提条件!$E$37+前提条件!$E$38*(BG8+BG9)</f>
        <v/>
      </c>
      <c r="BH15" s="13">
        <f>前提条件!$E$37+前提条件!$E$38*(BH8+BH9)</f>
        <v/>
      </c>
      <c r="BI15" s="13">
        <f>前提条件!$E$37+前提条件!$E$38*(BI8+BI9)</f>
        <v/>
      </c>
      <c r="BJ15" s="13">
        <f>前提条件!$E$37+前提条件!$E$38*(BJ8+BJ9)</f>
        <v/>
      </c>
    </row>
    <row r="16">
      <c r="A16" t="inlineStr">
        <is>
          <t>創業者報酬</t>
        </is>
      </c>
      <c r="C16" s="13">
        <f>前提条件!$E$20</f>
        <v/>
      </c>
      <c r="D16" s="13">
        <f>前提条件!$E$20</f>
        <v/>
      </c>
      <c r="E16" s="13">
        <f>前提条件!$E$20</f>
        <v/>
      </c>
      <c r="F16" s="13">
        <f>前提条件!$E$20</f>
        <v/>
      </c>
      <c r="G16" s="13">
        <f>前提条件!$E$20</f>
        <v/>
      </c>
      <c r="H16" s="13">
        <f>前提条件!$E$20</f>
        <v/>
      </c>
      <c r="I16" s="13">
        <f>前提条件!$E$20</f>
        <v/>
      </c>
      <c r="J16" s="13">
        <f>前提条件!$E$20</f>
        <v/>
      </c>
      <c r="K16" s="13">
        <f>前提条件!$E$20</f>
        <v/>
      </c>
      <c r="L16" s="13">
        <f>前提条件!$E$20</f>
        <v/>
      </c>
      <c r="M16" s="13">
        <f>前提条件!$E$20</f>
        <v/>
      </c>
      <c r="N16" s="13">
        <f>前提条件!$E$20</f>
        <v/>
      </c>
      <c r="O16" s="13">
        <f>前提条件!$E$20</f>
        <v/>
      </c>
      <c r="P16" s="13">
        <f>前提条件!$E$20</f>
        <v/>
      </c>
      <c r="Q16" s="13">
        <f>前提条件!$E$20</f>
        <v/>
      </c>
      <c r="R16" s="13">
        <f>前提条件!$E$20</f>
        <v/>
      </c>
      <c r="S16" s="13">
        <f>前提条件!$E$20</f>
        <v/>
      </c>
      <c r="T16" s="13">
        <f>前提条件!$E$20</f>
        <v/>
      </c>
      <c r="U16" s="13">
        <f>前提条件!$E$20</f>
        <v/>
      </c>
      <c r="V16" s="13">
        <f>前提条件!$E$20</f>
        <v/>
      </c>
      <c r="W16" s="13">
        <f>前提条件!$E$20</f>
        <v/>
      </c>
      <c r="X16" s="13">
        <f>前提条件!$E$20</f>
        <v/>
      </c>
      <c r="Y16" s="13">
        <f>前提条件!$E$20</f>
        <v/>
      </c>
      <c r="Z16" s="13">
        <f>前提条件!$E$20</f>
        <v/>
      </c>
      <c r="AA16" s="13">
        <f>前提条件!$E$20</f>
        <v/>
      </c>
      <c r="AB16" s="13">
        <f>前提条件!$E$20</f>
        <v/>
      </c>
      <c r="AC16" s="13">
        <f>前提条件!$E$20</f>
        <v/>
      </c>
      <c r="AD16" s="13">
        <f>前提条件!$E$20</f>
        <v/>
      </c>
      <c r="AE16" s="13">
        <f>前提条件!$E$20</f>
        <v/>
      </c>
      <c r="AF16" s="13">
        <f>前提条件!$E$20</f>
        <v/>
      </c>
      <c r="AG16" s="13">
        <f>前提条件!$E$20</f>
        <v/>
      </c>
      <c r="AH16" s="13">
        <f>前提条件!$E$20</f>
        <v/>
      </c>
      <c r="AI16" s="13">
        <f>前提条件!$E$20</f>
        <v/>
      </c>
      <c r="AJ16" s="13">
        <f>前提条件!$E$20</f>
        <v/>
      </c>
      <c r="AK16" s="13">
        <f>前提条件!$E$20</f>
        <v/>
      </c>
      <c r="AL16" s="13">
        <f>前提条件!$E$20</f>
        <v/>
      </c>
      <c r="AM16" s="13">
        <f>前提条件!$E$20</f>
        <v/>
      </c>
      <c r="AN16" s="13">
        <f>前提条件!$E$20</f>
        <v/>
      </c>
      <c r="AO16" s="13">
        <f>前提条件!$E$20</f>
        <v/>
      </c>
      <c r="AP16" s="13">
        <f>前提条件!$E$20</f>
        <v/>
      </c>
      <c r="AQ16" s="13">
        <f>前提条件!$E$20</f>
        <v/>
      </c>
      <c r="AR16" s="13">
        <f>前提条件!$E$20</f>
        <v/>
      </c>
      <c r="AS16" s="13">
        <f>前提条件!$E$20</f>
        <v/>
      </c>
      <c r="AT16" s="13">
        <f>前提条件!$E$20</f>
        <v/>
      </c>
      <c r="AU16" s="13">
        <f>前提条件!$E$20</f>
        <v/>
      </c>
      <c r="AV16" s="13">
        <f>前提条件!$E$20</f>
        <v/>
      </c>
      <c r="AW16" s="13">
        <f>前提条件!$E$20</f>
        <v/>
      </c>
      <c r="AX16" s="13">
        <f>前提条件!$E$20</f>
        <v/>
      </c>
      <c r="AY16" s="13">
        <f>前提条件!$E$20</f>
        <v/>
      </c>
      <c r="AZ16" s="13">
        <f>前提条件!$E$20</f>
        <v/>
      </c>
      <c r="BA16" s="13">
        <f>前提条件!$E$20</f>
        <v/>
      </c>
      <c r="BB16" s="13">
        <f>前提条件!$E$20</f>
        <v/>
      </c>
      <c r="BC16" s="13">
        <f>前提条件!$E$20</f>
        <v/>
      </c>
      <c r="BD16" s="13">
        <f>前提条件!$E$20</f>
        <v/>
      </c>
      <c r="BE16" s="13">
        <f>前提条件!$E$20</f>
        <v/>
      </c>
      <c r="BF16" s="13">
        <f>前提条件!$E$20</f>
        <v/>
      </c>
      <c r="BG16" s="13">
        <f>前提条件!$E$20</f>
        <v/>
      </c>
      <c r="BH16" s="13">
        <f>前提条件!$E$20</f>
        <v/>
      </c>
      <c r="BI16" s="13">
        <f>前提条件!$E$20</f>
        <v/>
      </c>
      <c r="BJ16" s="13">
        <f>前提条件!$E$20</f>
        <v/>
      </c>
    </row>
    <row r="17">
      <c r="A17" t="inlineStr">
        <is>
          <t>エンジニア費</t>
        </is>
      </c>
      <c r="C17" s="13">
        <f>IF(C4=1,前提条件!$E$21,IF(C4=2,前提条件!$E$22,前提条件!$E$23))</f>
        <v/>
      </c>
      <c r="D17" s="13">
        <f>IF(D4=1,前提条件!$E$21,IF(D4=2,前提条件!$E$22,前提条件!$E$23))</f>
        <v/>
      </c>
      <c r="E17" s="13">
        <f>IF(E4=1,前提条件!$E$21,IF(E4=2,前提条件!$E$22,前提条件!$E$23))</f>
        <v/>
      </c>
      <c r="F17" s="13">
        <f>IF(F4=1,前提条件!$E$21,IF(F4=2,前提条件!$E$22,前提条件!$E$23))</f>
        <v/>
      </c>
      <c r="G17" s="13">
        <f>IF(G4=1,前提条件!$E$21,IF(G4=2,前提条件!$E$22,前提条件!$E$23))</f>
        <v/>
      </c>
      <c r="H17" s="13">
        <f>IF(H4=1,前提条件!$E$21,IF(H4=2,前提条件!$E$22,前提条件!$E$23))</f>
        <v/>
      </c>
      <c r="I17" s="13">
        <f>IF(I4=1,前提条件!$E$21,IF(I4=2,前提条件!$E$22,前提条件!$E$23))</f>
        <v/>
      </c>
      <c r="J17" s="13">
        <f>IF(J4=1,前提条件!$E$21,IF(J4=2,前提条件!$E$22,前提条件!$E$23))</f>
        <v/>
      </c>
      <c r="K17" s="13">
        <f>IF(K4=1,前提条件!$E$21,IF(K4=2,前提条件!$E$22,前提条件!$E$23))</f>
        <v/>
      </c>
      <c r="L17" s="13">
        <f>IF(L4=1,前提条件!$E$21,IF(L4=2,前提条件!$E$22,前提条件!$E$23))</f>
        <v/>
      </c>
      <c r="M17" s="13">
        <f>IF(M4=1,前提条件!$E$21,IF(M4=2,前提条件!$E$22,前提条件!$E$23))</f>
        <v/>
      </c>
      <c r="N17" s="13">
        <f>IF(N4=1,前提条件!$E$21,IF(N4=2,前提条件!$E$22,前提条件!$E$23))</f>
        <v/>
      </c>
      <c r="O17" s="13">
        <f>IF(O4=1,前提条件!$E$21,IF(O4=2,前提条件!$E$22,前提条件!$E$23))</f>
        <v/>
      </c>
      <c r="P17" s="13">
        <f>IF(P4=1,前提条件!$E$21,IF(P4=2,前提条件!$E$22,前提条件!$E$23))</f>
        <v/>
      </c>
      <c r="Q17" s="13">
        <f>IF(Q4=1,前提条件!$E$21,IF(Q4=2,前提条件!$E$22,前提条件!$E$23))</f>
        <v/>
      </c>
      <c r="R17" s="13">
        <f>IF(R4=1,前提条件!$E$21,IF(R4=2,前提条件!$E$22,前提条件!$E$23))</f>
        <v/>
      </c>
      <c r="S17" s="13">
        <f>IF(S4=1,前提条件!$E$21,IF(S4=2,前提条件!$E$22,前提条件!$E$23))</f>
        <v/>
      </c>
      <c r="T17" s="13">
        <f>IF(T4=1,前提条件!$E$21,IF(T4=2,前提条件!$E$22,前提条件!$E$23))</f>
        <v/>
      </c>
      <c r="U17" s="13">
        <f>IF(U4=1,前提条件!$E$21,IF(U4=2,前提条件!$E$22,前提条件!$E$23))</f>
        <v/>
      </c>
      <c r="V17" s="13">
        <f>IF(V4=1,前提条件!$E$21,IF(V4=2,前提条件!$E$22,前提条件!$E$23))</f>
        <v/>
      </c>
      <c r="W17" s="13">
        <f>IF(W4=1,前提条件!$E$21,IF(W4=2,前提条件!$E$22,前提条件!$E$23))</f>
        <v/>
      </c>
      <c r="X17" s="13">
        <f>IF(X4=1,前提条件!$E$21,IF(X4=2,前提条件!$E$22,前提条件!$E$23))</f>
        <v/>
      </c>
      <c r="Y17" s="13">
        <f>IF(Y4=1,前提条件!$E$21,IF(Y4=2,前提条件!$E$22,前提条件!$E$23))</f>
        <v/>
      </c>
      <c r="Z17" s="13">
        <f>IF(Z4=1,前提条件!$E$21,IF(Z4=2,前提条件!$E$22,前提条件!$E$23))</f>
        <v/>
      </c>
      <c r="AA17" s="13">
        <f>IF(AA4=1,前提条件!$E$21,IF(AA4=2,前提条件!$E$22,前提条件!$E$23))</f>
        <v/>
      </c>
      <c r="AB17" s="13">
        <f>IF(AB4=1,前提条件!$E$21,IF(AB4=2,前提条件!$E$22,前提条件!$E$23))</f>
        <v/>
      </c>
      <c r="AC17" s="13">
        <f>IF(AC4=1,前提条件!$E$21,IF(AC4=2,前提条件!$E$22,前提条件!$E$23))</f>
        <v/>
      </c>
      <c r="AD17" s="13">
        <f>IF(AD4=1,前提条件!$E$21,IF(AD4=2,前提条件!$E$22,前提条件!$E$23))</f>
        <v/>
      </c>
      <c r="AE17" s="13">
        <f>IF(AE4=1,前提条件!$E$21,IF(AE4=2,前提条件!$E$22,前提条件!$E$23))</f>
        <v/>
      </c>
      <c r="AF17" s="13">
        <f>IF(AF4=1,前提条件!$E$21,IF(AF4=2,前提条件!$E$22,前提条件!$E$23))</f>
        <v/>
      </c>
      <c r="AG17" s="13">
        <f>IF(AG4=1,前提条件!$E$21,IF(AG4=2,前提条件!$E$22,前提条件!$E$23))</f>
        <v/>
      </c>
      <c r="AH17" s="13">
        <f>IF(AH4=1,前提条件!$E$21,IF(AH4=2,前提条件!$E$22,前提条件!$E$23))</f>
        <v/>
      </c>
      <c r="AI17" s="13">
        <f>IF(AI4=1,前提条件!$E$21,IF(AI4=2,前提条件!$E$22,前提条件!$E$23))</f>
        <v/>
      </c>
      <c r="AJ17" s="13">
        <f>IF(AJ4=1,前提条件!$E$21,IF(AJ4=2,前提条件!$E$22,前提条件!$E$23))</f>
        <v/>
      </c>
      <c r="AK17" s="13">
        <f>IF(AK4=1,前提条件!$E$21,IF(AK4=2,前提条件!$E$22,前提条件!$E$23))</f>
        <v/>
      </c>
      <c r="AL17" s="13">
        <f>IF(AL4=1,前提条件!$E$21,IF(AL4=2,前提条件!$E$22,前提条件!$E$23))</f>
        <v/>
      </c>
      <c r="AM17" s="13">
        <f>IF(AM4=1,前提条件!$E$21,IF(AM4=2,前提条件!$E$22,前提条件!$E$23))</f>
        <v/>
      </c>
      <c r="AN17" s="13">
        <f>IF(AN4=1,前提条件!$E$21,IF(AN4=2,前提条件!$E$22,前提条件!$E$23))</f>
        <v/>
      </c>
      <c r="AO17" s="13">
        <f>IF(AO4=1,前提条件!$E$21,IF(AO4=2,前提条件!$E$22,前提条件!$E$23))</f>
        <v/>
      </c>
      <c r="AP17" s="13">
        <f>IF(AP4=1,前提条件!$E$21,IF(AP4=2,前提条件!$E$22,前提条件!$E$23))</f>
        <v/>
      </c>
      <c r="AQ17" s="13">
        <f>IF(AQ4=1,前提条件!$E$21,IF(AQ4=2,前提条件!$E$22,前提条件!$E$23))</f>
        <v/>
      </c>
      <c r="AR17" s="13">
        <f>IF(AR4=1,前提条件!$E$21,IF(AR4=2,前提条件!$E$22,前提条件!$E$23))</f>
        <v/>
      </c>
      <c r="AS17" s="13">
        <f>IF(AS4=1,前提条件!$E$21,IF(AS4=2,前提条件!$E$22,前提条件!$E$23))</f>
        <v/>
      </c>
      <c r="AT17" s="13">
        <f>IF(AT4=1,前提条件!$E$21,IF(AT4=2,前提条件!$E$22,前提条件!$E$23))</f>
        <v/>
      </c>
      <c r="AU17" s="13">
        <f>IF(AU4=1,前提条件!$E$21,IF(AU4=2,前提条件!$E$22,前提条件!$E$23))</f>
        <v/>
      </c>
      <c r="AV17" s="13">
        <f>IF(AV4=1,前提条件!$E$21,IF(AV4=2,前提条件!$E$22,前提条件!$E$23))</f>
        <v/>
      </c>
      <c r="AW17" s="13">
        <f>IF(AW4=1,前提条件!$E$21,IF(AW4=2,前提条件!$E$22,前提条件!$E$23))</f>
        <v/>
      </c>
      <c r="AX17" s="13">
        <f>IF(AX4=1,前提条件!$E$21,IF(AX4=2,前提条件!$E$22,前提条件!$E$23))</f>
        <v/>
      </c>
      <c r="AY17" s="13">
        <f>IF(AY4=1,前提条件!$E$21,IF(AY4=2,前提条件!$E$22,前提条件!$E$23))</f>
        <v/>
      </c>
      <c r="AZ17" s="13">
        <f>IF(AZ4=1,前提条件!$E$21,IF(AZ4=2,前提条件!$E$22,前提条件!$E$23))</f>
        <v/>
      </c>
      <c r="BA17" s="13">
        <f>IF(BA4=1,前提条件!$E$21,IF(BA4=2,前提条件!$E$22,前提条件!$E$23))</f>
        <v/>
      </c>
      <c r="BB17" s="13">
        <f>IF(BB4=1,前提条件!$E$21,IF(BB4=2,前提条件!$E$22,前提条件!$E$23))</f>
        <v/>
      </c>
      <c r="BC17" s="13">
        <f>IF(BC4=1,前提条件!$E$21,IF(BC4=2,前提条件!$E$22,前提条件!$E$23))</f>
        <v/>
      </c>
      <c r="BD17" s="13">
        <f>IF(BD4=1,前提条件!$E$21,IF(BD4=2,前提条件!$E$22,前提条件!$E$23))</f>
        <v/>
      </c>
      <c r="BE17" s="13">
        <f>IF(BE4=1,前提条件!$E$21,IF(BE4=2,前提条件!$E$22,前提条件!$E$23))</f>
        <v/>
      </c>
      <c r="BF17" s="13">
        <f>IF(BF4=1,前提条件!$E$21,IF(BF4=2,前提条件!$E$22,前提条件!$E$23))</f>
        <v/>
      </c>
      <c r="BG17" s="13">
        <f>IF(BG4=1,前提条件!$E$21,IF(BG4=2,前提条件!$E$22,前提条件!$E$23))</f>
        <v/>
      </c>
      <c r="BH17" s="13">
        <f>IF(BH4=1,前提条件!$E$21,IF(BH4=2,前提条件!$E$22,前提条件!$E$23))</f>
        <v/>
      </c>
      <c r="BI17" s="13">
        <f>IF(BI4=1,前提条件!$E$21,IF(BI4=2,前提条件!$E$22,前提条件!$E$23))</f>
        <v/>
      </c>
      <c r="BJ17" s="13">
        <f>IF(BJ4=1,前提条件!$E$21,IF(BJ4=2,前提条件!$E$22,前提条件!$E$23))</f>
        <v/>
      </c>
    </row>
    <row r="18">
      <c r="A18" t="inlineStr">
        <is>
          <t>営業人員(人)</t>
        </is>
      </c>
      <c r="C18" s="12">
        <f>IF(C3&lt;前提条件!$E$26,0,ROUNDUP(C5/前提条件!$E$24,0))</f>
        <v/>
      </c>
      <c r="D18" s="12">
        <f>IF(D3&lt;前提条件!$E$26,0,ROUNDUP(D5/前提条件!$E$24,0))</f>
        <v/>
      </c>
      <c r="E18" s="12">
        <f>IF(E3&lt;前提条件!$E$26,0,ROUNDUP(E5/前提条件!$E$24,0))</f>
        <v/>
      </c>
      <c r="F18" s="12">
        <f>IF(F3&lt;前提条件!$E$26,0,ROUNDUP(F5/前提条件!$E$24,0))</f>
        <v/>
      </c>
      <c r="G18" s="12">
        <f>IF(G3&lt;前提条件!$E$26,0,ROUNDUP(G5/前提条件!$E$24,0))</f>
        <v/>
      </c>
      <c r="H18" s="12">
        <f>IF(H3&lt;前提条件!$E$26,0,ROUNDUP(H5/前提条件!$E$24,0))</f>
        <v/>
      </c>
      <c r="I18" s="12">
        <f>IF(I3&lt;前提条件!$E$26,0,ROUNDUP(I5/前提条件!$E$24,0))</f>
        <v/>
      </c>
      <c r="J18" s="12">
        <f>IF(J3&lt;前提条件!$E$26,0,ROUNDUP(J5/前提条件!$E$24,0))</f>
        <v/>
      </c>
      <c r="K18" s="12">
        <f>IF(K3&lt;前提条件!$E$26,0,ROUNDUP(K5/前提条件!$E$24,0))</f>
        <v/>
      </c>
      <c r="L18" s="12">
        <f>IF(L3&lt;前提条件!$E$26,0,ROUNDUP(L5/前提条件!$E$24,0))</f>
        <v/>
      </c>
      <c r="M18" s="12">
        <f>IF(M3&lt;前提条件!$E$26,0,ROUNDUP(M5/前提条件!$E$24,0))</f>
        <v/>
      </c>
      <c r="N18" s="12">
        <f>IF(N3&lt;前提条件!$E$26,0,ROUNDUP(N5/前提条件!$E$24,0))</f>
        <v/>
      </c>
      <c r="O18" s="12">
        <f>IF(O3&lt;前提条件!$E$26,0,ROUNDUP(O5/前提条件!$E$24,0))</f>
        <v/>
      </c>
      <c r="P18" s="12">
        <f>IF(P3&lt;前提条件!$E$26,0,ROUNDUP(P5/前提条件!$E$24,0))</f>
        <v/>
      </c>
      <c r="Q18" s="12">
        <f>IF(Q3&lt;前提条件!$E$26,0,ROUNDUP(Q5/前提条件!$E$24,0))</f>
        <v/>
      </c>
      <c r="R18" s="12">
        <f>IF(R3&lt;前提条件!$E$26,0,ROUNDUP(R5/前提条件!$E$24,0))</f>
        <v/>
      </c>
      <c r="S18" s="12">
        <f>IF(S3&lt;前提条件!$E$26,0,ROUNDUP(S5/前提条件!$E$24,0))</f>
        <v/>
      </c>
      <c r="T18" s="12">
        <f>IF(T3&lt;前提条件!$E$26,0,ROUNDUP(T5/前提条件!$E$24,0))</f>
        <v/>
      </c>
      <c r="U18" s="12">
        <f>IF(U3&lt;前提条件!$E$26,0,ROUNDUP(U5/前提条件!$E$24,0))</f>
        <v/>
      </c>
      <c r="V18" s="12">
        <f>IF(V3&lt;前提条件!$E$26,0,ROUNDUP(V5/前提条件!$E$24,0))</f>
        <v/>
      </c>
      <c r="W18" s="12">
        <f>IF(W3&lt;前提条件!$E$26,0,ROUNDUP(W5/前提条件!$E$24,0))</f>
        <v/>
      </c>
      <c r="X18" s="12">
        <f>IF(X3&lt;前提条件!$E$26,0,ROUNDUP(X5/前提条件!$E$24,0))</f>
        <v/>
      </c>
      <c r="Y18" s="12">
        <f>IF(Y3&lt;前提条件!$E$26,0,ROUNDUP(Y5/前提条件!$E$24,0))</f>
        <v/>
      </c>
      <c r="Z18" s="12">
        <f>IF(Z3&lt;前提条件!$E$26,0,ROUNDUP(Z5/前提条件!$E$24,0))</f>
        <v/>
      </c>
      <c r="AA18" s="12">
        <f>IF(AA3&lt;前提条件!$E$26,0,ROUNDUP(AA5/前提条件!$E$24,0))</f>
        <v/>
      </c>
      <c r="AB18" s="12">
        <f>IF(AB3&lt;前提条件!$E$26,0,ROUNDUP(AB5/前提条件!$E$24,0))</f>
        <v/>
      </c>
      <c r="AC18" s="12">
        <f>IF(AC3&lt;前提条件!$E$26,0,ROUNDUP(AC5/前提条件!$E$24,0))</f>
        <v/>
      </c>
      <c r="AD18" s="12">
        <f>IF(AD3&lt;前提条件!$E$26,0,ROUNDUP(AD5/前提条件!$E$24,0))</f>
        <v/>
      </c>
      <c r="AE18" s="12">
        <f>IF(AE3&lt;前提条件!$E$26,0,ROUNDUP(AE5/前提条件!$E$24,0))</f>
        <v/>
      </c>
      <c r="AF18" s="12">
        <f>IF(AF3&lt;前提条件!$E$26,0,ROUNDUP(AF5/前提条件!$E$24,0))</f>
        <v/>
      </c>
      <c r="AG18" s="12">
        <f>IF(AG3&lt;前提条件!$E$26,0,ROUNDUP(AG5/前提条件!$E$24,0))</f>
        <v/>
      </c>
      <c r="AH18" s="12">
        <f>IF(AH3&lt;前提条件!$E$26,0,ROUNDUP(AH5/前提条件!$E$24,0))</f>
        <v/>
      </c>
      <c r="AI18" s="12">
        <f>IF(AI3&lt;前提条件!$E$26,0,ROUNDUP(AI5/前提条件!$E$24,0))</f>
        <v/>
      </c>
      <c r="AJ18" s="12">
        <f>IF(AJ3&lt;前提条件!$E$26,0,ROUNDUP(AJ5/前提条件!$E$24,0))</f>
        <v/>
      </c>
      <c r="AK18" s="12">
        <f>IF(AK3&lt;前提条件!$E$26,0,ROUNDUP(AK5/前提条件!$E$24,0))</f>
        <v/>
      </c>
      <c r="AL18" s="12">
        <f>IF(AL3&lt;前提条件!$E$26,0,ROUNDUP(AL5/前提条件!$E$24,0))</f>
        <v/>
      </c>
      <c r="AM18" s="12">
        <f>IF(AM3&lt;前提条件!$E$26,0,ROUNDUP(AM5/前提条件!$E$24,0))</f>
        <v/>
      </c>
      <c r="AN18" s="12">
        <f>IF(AN3&lt;前提条件!$E$26,0,ROUNDUP(AN5/前提条件!$E$24,0))</f>
        <v/>
      </c>
      <c r="AO18" s="12">
        <f>IF(AO3&lt;前提条件!$E$26,0,ROUNDUP(AO5/前提条件!$E$24,0))</f>
        <v/>
      </c>
      <c r="AP18" s="12">
        <f>IF(AP3&lt;前提条件!$E$26,0,ROUNDUP(AP5/前提条件!$E$24,0))</f>
        <v/>
      </c>
      <c r="AQ18" s="12">
        <f>IF(AQ3&lt;前提条件!$E$26,0,ROUNDUP(AQ5/前提条件!$E$24,0))</f>
        <v/>
      </c>
      <c r="AR18" s="12">
        <f>IF(AR3&lt;前提条件!$E$26,0,ROUNDUP(AR5/前提条件!$E$24,0))</f>
        <v/>
      </c>
      <c r="AS18" s="12">
        <f>IF(AS3&lt;前提条件!$E$26,0,ROUNDUP(AS5/前提条件!$E$24,0))</f>
        <v/>
      </c>
      <c r="AT18" s="12">
        <f>IF(AT3&lt;前提条件!$E$26,0,ROUNDUP(AT5/前提条件!$E$24,0))</f>
        <v/>
      </c>
      <c r="AU18" s="12">
        <f>IF(AU3&lt;前提条件!$E$26,0,ROUNDUP(AU5/前提条件!$E$24,0))</f>
        <v/>
      </c>
      <c r="AV18" s="12">
        <f>IF(AV3&lt;前提条件!$E$26,0,ROUNDUP(AV5/前提条件!$E$24,0))</f>
        <v/>
      </c>
      <c r="AW18" s="12">
        <f>IF(AW3&lt;前提条件!$E$26,0,ROUNDUP(AW5/前提条件!$E$24,0))</f>
        <v/>
      </c>
      <c r="AX18" s="12">
        <f>IF(AX3&lt;前提条件!$E$26,0,ROUNDUP(AX5/前提条件!$E$24,0))</f>
        <v/>
      </c>
      <c r="AY18" s="12">
        <f>IF(AY3&lt;前提条件!$E$26,0,ROUNDUP(AY5/前提条件!$E$24,0))</f>
        <v/>
      </c>
      <c r="AZ18" s="12">
        <f>IF(AZ3&lt;前提条件!$E$26,0,ROUNDUP(AZ5/前提条件!$E$24,0))</f>
        <v/>
      </c>
      <c r="BA18" s="12">
        <f>IF(BA3&lt;前提条件!$E$26,0,ROUNDUP(BA5/前提条件!$E$24,0))</f>
        <v/>
      </c>
      <c r="BB18" s="12">
        <f>IF(BB3&lt;前提条件!$E$26,0,ROUNDUP(BB5/前提条件!$E$24,0))</f>
        <v/>
      </c>
      <c r="BC18" s="12">
        <f>IF(BC3&lt;前提条件!$E$26,0,ROUNDUP(BC5/前提条件!$E$24,0))</f>
        <v/>
      </c>
      <c r="BD18" s="12">
        <f>IF(BD3&lt;前提条件!$E$26,0,ROUNDUP(BD5/前提条件!$E$24,0))</f>
        <v/>
      </c>
      <c r="BE18" s="12">
        <f>IF(BE3&lt;前提条件!$E$26,0,ROUNDUP(BE5/前提条件!$E$24,0))</f>
        <v/>
      </c>
      <c r="BF18" s="12">
        <f>IF(BF3&lt;前提条件!$E$26,0,ROUNDUP(BF5/前提条件!$E$24,0))</f>
        <v/>
      </c>
      <c r="BG18" s="12">
        <f>IF(BG3&lt;前提条件!$E$26,0,ROUNDUP(BG5/前提条件!$E$24,0))</f>
        <v/>
      </c>
      <c r="BH18" s="12">
        <f>IF(BH3&lt;前提条件!$E$26,0,ROUNDUP(BH5/前提条件!$E$24,0))</f>
        <v/>
      </c>
      <c r="BI18" s="12">
        <f>IF(BI3&lt;前提条件!$E$26,0,ROUNDUP(BI5/前提条件!$E$24,0))</f>
        <v/>
      </c>
      <c r="BJ18" s="12">
        <f>IF(BJ3&lt;前提条件!$E$26,0,ROUNDUP(BJ5/前提条件!$E$24,0))</f>
        <v/>
      </c>
    </row>
    <row r="19">
      <c r="A19" t="inlineStr">
        <is>
          <t>営業人件費</t>
        </is>
      </c>
      <c r="C19" s="13">
        <f>C18*前提条件!$E$25</f>
        <v/>
      </c>
      <c r="D19" s="13">
        <f>D18*前提条件!$E$25</f>
        <v/>
      </c>
      <c r="E19" s="13">
        <f>E18*前提条件!$E$25</f>
        <v/>
      </c>
      <c r="F19" s="13">
        <f>F18*前提条件!$E$25</f>
        <v/>
      </c>
      <c r="G19" s="13">
        <f>G18*前提条件!$E$25</f>
        <v/>
      </c>
      <c r="H19" s="13">
        <f>H18*前提条件!$E$25</f>
        <v/>
      </c>
      <c r="I19" s="13">
        <f>I18*前提条件!$E$25</f>
        <v/>
      </c>
      <c r="J19" s="13">
        <f>J18*前提条件!$E$25</f>
        <v/>
      </c>
      <c r="K19" s="13">
        <f>K18*前提条件!$E$25</f>
        <v/>
      </c>
      <c r="L19" s="13">
        <f>L18*前提条件!$E$25</f>
        <v/>
      </c>
      <c r="M19" s="13">
        <f>M18*前提条件!$E$25</f>
        <v/>
      </c>
      <c r="N19" s="13">
        <f>N18*前提条件!$E$25</f>
        <v/>
      </c>
      <c r="O19" s="13">
        <f>O18*前提条件!$E$25</f>
        <v/>
      </c>
      <c r="P19" s="13">
        <f>P18*前提条件!$E$25</f>
        <v/>
      </c>
      <c r="Q19" s="13">
        <f>Q18*前提条件!$E$25</f>
        <v/>
      </c>
      <c r="R19" s="13">
        <f>R18*前提条件!$E$25</f>
        <v/>
      </c>
      <c r="S19" s="13">
        <f>S18*前提条件!$E$25</f>
        <v/>
      </c>
      <c r="T19" s="13">
        <f>T18*前提条件!$E$25</f>
        <v/>
      </c>
      <c r="U19" s="13">
        <f>U18*前提条件!$E$25</f>
        <v/>
      </c>
      <c r="V19" s="13">
        <f>V18*前提条件!$E$25</f>
        <v/>
      </c>
      <c r="W19" s="13">
        <f>W18*前提条件!$E$25</f>
        <v/>
      </c>
      <c r="X19" s="13">
        <f>X18*前提条件!$E$25</f>
        <v/>
      </c>
      <c r="Y19" s="13">
        <f>Y18*前提条件!$E$25</f>
        <v/>
      </c>
      <c r="Z19" s="13">
        <f>Z18*前提条件!$E$25</f>
        <v/>
      </c>
      <c r="AA19" s="13">
        <f>AA18*前提条件!$E$25</f>
        <v/>
      </c>
      <c r="AB19" s="13">
        <f>AB18*前提条件!$E$25</f>
        <v/>
      </c>
      <c r="AC19" s="13">
        <f>AC18*前提条件!$E$25</f>
        <v/>
      </c>
      <c r="AD19" s="13">
        <f>AD18*前提条件!$E$25</f>
        <v/>
      </c>
      <c r="AE19" s="13">
        <f>AE18*前提条件!$E$25</f>
        <v/>
      </c>
      <c r="AF19" s="13">
        <f>AF18*前提条件!$E$25</f>
        <v/>
      </c>
      <c r="AG19" s="13">
        <f>AG18*前提条件!$E$25</f>
        <v/>
      </c>
      <c r="AH19" s="13">
        <f>AH18*前提条件!$E$25</f>
        <v/>
      </c>
      <c r="AI19" s="13">
        <f>AI18*前提条件!$E$25</f>
        <v/>
      </c>
      <c r="AJ19" s="13">
        <f>AJ18*前提条件!$E$25</f>
        <v/>
      </c>
      <c r="AK19" s="13">
        <f>AK18*前提条件!$E$25</f>
        <v/>
      </c>
      <c r="AL19" s="13">
        <f>AL18*前提条件!$E$25</f>
        <v/>
      </c>
      <c r="AM19" s="13">
        <f>AM18*前提条件!$E$25</f>
        <v/>
      </c>
      <c r="AN19" s="13">
        <f>AN18*前提条件!$E$25</f>
        <v/>
      </c>
      <c r="AO19" s="13">
        <f>AO18*前提条件!$E$25</f>
        <v/>
      </c>
      <c r="AP19" s="13">
        <f>AP18*前提条件!$E$25</f>
        <v/>
      </c>
      <c r="AQ19" s="13">
        <f>AQ18*前提条件!$E$25</f>
        <v/>
      </c>
      <c r="AR19" s="13">
        <f>AR18*前提条件!$E$25</f>
        <v/>
      </c>
      <c r="AS19" s="13">
        <f>AS18*前提条件!$E$25</f>
        <v/>
      </c>
      <c r="AT19" s="13">
        <f>AT18*前提条件!$E$25</f>
        <v/>
      </c>
      <c r="AU19" s="13">
        <f>AU18*前提条件!$E$25</f>
        <v/>
      </c>
      <c r="AV19" s="13">
        <f>AV18*前提条件!$E$25</f>
        <v/>
      </c>
      <c r="AW19" s="13">
        <f>AW18*前提条件!$E$25</f>
        <v/>
      </c>
      <c r="AX19" s="13">
        <f>AX18*前提条件!$E$25</f>
        <v/>
      </c>
      <c r="AY19" s="13">
        <f>AY18*前提条件!$E$25</f>
        <v/>
      </c>
      <c r="AZ19" s="13">
        <f>AZ18*前提条件!$E$25</f>
        <v/>
      </c>
      <c r="BA19" s="13">
        <f>BA18*前提条件!$E$25</f>
        <v/>
      </c>
      <c r="BB19" s="13">
        <f>BB18*前提条件!$E$25</f>
        <v/>
      </c>
      <c r="BC19" s="13">
        <f>BC18*前提条件!$E$25</f>
        <v/>
      </c>
      <c r="BD19" s="13">
        <f>BD18*前提条件!$E$25</f>
        <v/>
      </c>
      <c r="BE19" s="13">
        <f>BE18*前提条件!$E$25</f>
        <v/>
      </c>
      <c r="BF19" s="13">
        <f>BF18*前提条件!$E$25</f>
        <v/>
      </c>
      <c r="BG19" s="13">
        <f>BG18*前提条件!$E$25</f>
        <v/>
      </c>
      <c r="BH19" s="13">
        <f>BH18*前提条件!$E$25</f>
        <v/>
      </c>
      <c r="BI19" s="13">
        <f>BI18*前提条件!$E$25</f>
        <v/>
      </c>
      <c r="BJ19" s="13">
        <f>BJ18*前提条件!$E$25</f>
        <v/>
      </c>
    </row>
    <row r="20">
      <c r="A20" t="inlineStr">
        <is>
          <t>CS人員(人)</t>
        </is>
      </c>
      <c r="C20" s="12">
        <f>IF(C3&lt;前提条件!$E$29,0,ROUNDUP(C8/前提条件!$E$27,0))</f>
        <v/>
      </c>
      <c r="D20" s="12">
        <f>IF(D3&lt;前提条件!$E$29,0,ROUNDUP(D8/前提条件!$E$27,0))</f>
        <v/>
      </c>
      <c r="E20" s="12">
        <f>IF(E3&lt;前提条件!$E$29,0,ROUNDUP(E8/前提条件!$E$27,0))</f>
        <v/>
      </c>
      <c r="F20" s="12">
        <f>IF(F3&lt;前提条件!$E$29,0,ROUNDUP(F8/前提条件!$E$27,0))</f>
        <v/>
      </c>
      <c r="G20" s="12">
        <f>IF(G3&lt;前提条件!$E$29,0,ROUNDUP(G8/前提条件!$E$27,0))</f>
        <v/>
      </c>
      <c r="H20" s="12">
        <f>IF(H3&lt;前提条件!$E$29,0,ROUNDUP(H8/前提条件!$E$27,0))</f>
        <v/>
      </c>
      <c r="I20" s="12">
        <f>IF(I3&lt;前提条件!$E$29,0,ROUNDUP(I8/前提条件!$E$27,0))</f>
        <v/>
      </c>
      <c r="J20" s="12">
        <f>IF(J3&lt;前提条件!$E$29,0,ROUNDUP(J8/前提条件!$E$27,0))</f>
        <v/>
      </c>
      <c r="K20" s="12">
        <f>IF(K3&lt;前提条件!$E$29,0,ROUNDUP(K8/前提条件!$E$27,0))</f>
        <v/>
      </c>
      <c r="L20" s="12">
        <f>IF(L3&lt;前提条件!$E$29,0,ROUNDUP(L8/前提条件!$E$27,0))</f>
        <v/>
      </c>
      <c r="M20" s="12">
        <f>IF(M3&lt;前提条件!$E$29,0,ROUNDUP(M8/前提条件!$E$27,0))</f>
        <v/>
      </c>
      <c r="N20" s="12">
        <f>IF(N3&lt;前提条件!$E$29,0,ROUNDUP(N8/前提条件!$E$27,0))</f>
        <v/>
      </c>
      <c r="O20" s="12">
        <f>IF(O3&lt;前提条件!$E$29,0,ROUNDUP(O8/前提条件!$E$27,0))</f>
        <v/>
      </c>
      <c r="P20" s="12">
        <f>IF(P3&lt;前提条件!$E$29,0,ROUNDUP(P8/前提条件!$E$27,0))</f>
        <v/>
      </c>
      <c r="Q20" s="12">
        <f>IF(Q3&lt;前提条件!$E$29,0,ROUNDUP(Q8/前提条件!$E$27,0))</f>
        <v/>
      </c>
      <c r="R20" s="12">
        <f>IF(R3&lt;前提条件!$E$29,0,ROUNDUP(R8/前提条件!$E$27,0))</f>
        <v/>
      </c>
      <c r="S20" s="12">
        <f>IF(S3&lt;前提条件!$E$29,0,ROUNDUP(S8/前提条件!$E$27,0))</f>
        <v/>
      </c>
      <c r="T20" s="12">
        <f>IF(T3&lt;前提条件!$E$29,0,ROUNDUP(T8/前提条件!$E$27,0))</f>
        <v/>
      </c>
      <c r="U20" s="12">
        <f>IF(U3&lt;前提条件!$E$29,0,ROUNDUP(U8/前提条件!$E$27,0))</f>
        <v/>
      </c>
      <c r="V20" s="12">
        <f>IF(V3&lt;前提条件!$E$29,0,ROUNDUP(V8/前提条件!$E$27,0))</f>
        <v/>
      </c>
      <c r="W20" s="12">
        <f>IF(W3&lt;前提条件!$E$29,0,ROUNDUP(W8/前提条件!$E$27,0))</f>
        <v/>
      </c>
      <c r="X20" s="12">
        <f>IF(X3&lt;前提条件!$E$29,0,ROUNDUP(X8/前提条件!$E$27,0))</f>
        <v/>
      </c>
      <c r="Y20" s="12">
        <f>IF(Y3&lt;前提条件!$E$29,0,ROUNDUP(Y8/前提条件!$E$27,0))</f>
        <v/>
      </c>
      <c r="Z20" s="12">
        <f>IF(Z3&lt;前提条件!$E$29,0,ROUNDUP(Z8/前提条件!$E$27,0))</f>
        <v/>
      </c>
      <c r="AA20" s="12">
        <f>IF(AA3&lt;前提条件!$E$29,0,ROUNDUP(AA8/前提条件!$E$27,0))</f>
        <v/>
      </c>
      <c r="AB20" s="12">
        <f>IF(AB3&lt;前提条件!$E$29,0,ROUNDUP(AB8/前提条件!$E$27,0))</f>
        <v/>
      </c>
      <c r="AC20" s="12">
        <f>IF(AC3&lt;前提条件!$E$29,0,ROUNDUP(AC8/前提条件!$E$27,0))</f>
        <v/>
      </c>
      <c r="AD20" s="12">
        <f>IF(AD3&lt;前提条件!$E$29,0,ROUNDUP(AD8/前提条件!$E$27,0))</f>
        <v/>
      </c>
      <c r="AE20" s="12">
        <f>IF(AE3&lt;前提条件!$E$29,0,ROUNDUP(AE8/前提条件!$E$27,0))</f>
        <v/>
      </c>
      <c r="AF20" s="12">
        <f>IF(AF3&lt;前提条件!$E$29,0,ROUNDUP(AF8/前提条件!$E$27,0))</f>
        <v/>
      </c>
      <c r="AG20" s="12">
        <f>IF(AG3&lt;前提条件!$E$29,0,ROUNDUP(AG8/前提条件!$E$27,0))</f>
        <v/>
      </c>
      <c r="AH20" s="12">
        <f>IF(AH3&lt;前提条件!$E$29,0,ROUNDUP(AH8/前提条件!$E$27,0))</f>
        <v/>
      </c>
      <c r="AI20" s="12">
        <f>IF(AI3&lt;前提条件!$E$29,0,ROUNDUP(AI8/前提条件!$E$27,0))</f>
        <v/>
      </c>
      <c r="AJ20" s="12">
        <f>IF(AJ3&lt;前提条件!$E$29,0,ROUNDUP(AJ8/前提条件!$E$27,0))</f>
        <v/>
      </c>
      <c r="AK20" s="12">
        <f>IF(AK3&lt;前提条件!$E$29,0,ROUNDUP(AK8/前提条件!$E$27,0))</f>
        <v/>
      </c>
      <c r="AL20" s="12">
        <f>IF(AL3&lt;前提条件!$E$29,0,ROUNDUP(AL8/前提条件!$E$27,0))</f>
        <v/>
      </c>
      <c r="AM20" s="12">
        <f>IF(AM3&lt;前提条件!$E$29,0,ROUNDUP(AM8/前提条件!$E$27,0))</f>
        <v/>
      </c>
      <c r="AN20" s="12">
        <f>IF(AN3&lt;前提条件!$E$29,0,ROUNDUP(AN8/前提条件!$E$27,0))</f>
        <v/>
      </c>
      <c r="AO20" s="12">
        <f>IF(AO3&lt;前提条件!$E$29,0,ROUNDUP(AO8/前提条件!$E$27,0))</f>
        <v/>
      </c>
      <c r="AP20" s="12">
        <f>IF(AP3&lt;前提条件!$E$29,0,ROUNDUP(AP8/前提条件!$E$27,0))</f>
        <v/>
      </c>
      <c r="AQ20" s="12">
        <f>IF(AQ3&lt;前提条件!$E$29,0,ROUNDUP(AQ8/前提条件!$E$27,0))</f>
        <v/>
      </c>
      <c r="AR20" s="12">
        <f>IF(AR3&lt;前提条件!$E$29,0,ROUNDUP(AR8/前提条件!$E$27,0))</f>
        <v/>
      </c>
      <c r="AS20" s="12">
        <f>IF(AS3&lt;前提条件!$E$29,0,ROUNDUP(AS8/前提条件!$E$27,0))</f>
        <v/>
      </c>
      <c r="AT20" s="12">
        <f>IF(AT3&lt;前提条件!$E$29,0,ROUNDUP(AT8/前提条件!$E$27,0))</f>
        <v/>
      </c>
      <c r="AU20" s="12">
        <f>IF(AU3&lt;前提条件!$E$29,0,ROUNDUP(AU8/前提条件!$E$27,0))</f>
        <v/>
      </c>
      <c r="AV20" s="12">
        <f>IF(AV3&lt;前提条件!$E$29,0,ROUNDUP(AV8/前提条件!$E$27,0))</f>
        <v/>
      </c>
      <c r="AW20" s="12">
        <f>IF(AW3&lt;前提条件!$E$29,0,ROUNDUP(AW8/前提条件!$E$27,0))</f>
        <v/>
      </c>
      <c r="AX20" s="12">
        <f>IF(AX3&lt;前提条件!$E$29,0,ROUNDUP(AX8/前提条件!$E$27,0))</f>
        <v/>
      </c>
      <c r="AY20" s="12">
        <f>IF(AY3&lt;前提条件!$E$29,0,ROUNDUP(AY8/前提条件!$E$27,0))</f>
        <v/>
      </c>
      <c r="AZ20" s="12">
        <f>IF(AZ3&lt;前提条件!$E$29,0,ROUNDUP(AZ8/前提条件!$E$27,0))</f>
        <v/>
      </c>
      <c r="BA20" s="12">
        <f>IF(BA3&lt;前提条件!$E$29,0,ROUNDUP(BA8/前提条件!$E$27,0))</f>
        <v/>
      </c>
      <c r="BB20" s="12">
        <f>IF(BB3&lt;前提条件!$E$29,0,ROUNDUP(BB8/前提条件!$E$27,0))</f>
        <v/>
      </c>
      <c r="BC20" s="12">
        <f>IF(BC3&lt;前提条件!$E$29,0,ROUNDUP(BC8/前提条件!$E$27,0))</f>
        <v/>
      </c>
      <c r="BD20" s="12">
        <f>IF(BD3&lt;前提条件!$E$29,0,ROUNDUP(BD8/前提条件!$E$27,0))</f>
        <v/>
      </c>
      <c r="BE20" s="12">
        <f>IF(BE3&lt;前提条件!$E$29,0,ROUNDUP(BE8/前提条件!$E$27,0))</f>
        <v/>
      </c>
      <c r="BF20" s="12">
        <f>IF(BF3&lt;前提条件!$E$29,0,ROUNDUP(BF8/前提条件!$E$27,0))</f>
        <v/>
      </c>
      <c r="BG20" s="12">
        <f>IF(BG3&lt;前提条件!$E$29,0,ROUNDUP(BG8/前提条件!$E$27,0))</f>
        <v/>
      </c>
      <c r="BH20" s="12">
        <f>IF(BH3&lt;前提条件!$E$29,0,ROUNDUP(BH8/前提条件!$E$27,0))</f>
        <v/>
      </c>
      <c r="BI20" s="12">
        <f>IF(BI3&lt;前提条件!$E$29,0,ROUNDUP(BI8/前提条件!$E$27,0))</f>
        <v/>
      </c>
      <c r="BJ20" s="12">
        <f>IF(BJ3&lt;前提条件!$E$29,0,ROUNDUP(BJ8/前提条件!$E$27,0))</f>
        <v/>
      </c>
    </row>
    <row r="21">
      <c r="A21" t="inlineStr">
        <is>
          <t>CS人件費</t>
        </is>
      </c>
      <c r="C21" s="13">
        <f>C20*前提条件!$E$28</f>
        <v/>
      </c>
      <c r="D21" s="13">
        <f>D20*前提条件!$E$28</f>
        <v/>
      </c>
      <c r="E21" s="13">
        <f>E20*前提条件!$E$28</f>
        <v/>
      </c>
      <c r="F21" s="13">
        <f>F20*前提条件!$E$28</f>
        <v/>
      </c>
      <c r="G21" s="13">
        <f>G20*前提条件!$E$28</f>
        <v/>
      </c>
      <c r="H21" s="13">
        <f>H20*前提条件!$E$28</f>
        <v/>
      </c>
      <c r="I21" s="13">
        <f>I20*前提条件!$E$28</f>
        <v/>
      </c>
      <c r="J21" s="13">
        <f>J20*前提条件!$E$28</f>
        <v/>
      </c>
      <c r="K21" s="13">
        <f>K20*前提条件!$E$28</f>
        <v/>
      </c>
      <c r="L21" s="13">
        <f>L20*前提条件!$E$28</f>
        <v/>
      </c>
      <c r="M21" s="13">
        <f>M20*前提条件!$E$28</f>
        <v/>
      </c>
      <c r="N21" s="13">
        <f>N20*前提条件!$E$28</f>
        <v/>
      </c>
      <c r="O21" s="13">
        <f>O20*前提条件!$E$28</f>
        <v/>
      </c>
      <c r="P21" s="13">
        <f>P20*前提条件!$E$28</f>
        <v/>
      </c>
      <c r="Q21" s="13">
        <f>Q20*前提条件!$E$28</f>
        <v/>
      </c>
      <c r="R21" s="13">
        <f>R20*前提条件!$E$28</f>
        <v/>
      </c>
      <c r="S21" s="13">
        <f>S20*前提条件!$E$28</f>
        <v/>
      </c>
      <c r="T21" s="13">
        <f>T20*前提条件!$E$28</f>
        <v/>
      </c>
      <c r="U21" s="13">
        <f>U20*前提条件!$E$28</f>
        <v/>
      </c>
      <c r="V21" s="13">
        <f>V20*前提条件!$E$28</f>
        <v/>
      </c>
      <c r="W21" s="13">
        <f>W20*前提条件!$E$28</f>
        <v/>
      </c>
      <c r="X21" s="13">
        <f>X20*前提条件!$E$28</f>
        <v/>
      </c>
      <c r="Y21" s="13">
        <f>Y20*前提条件!$E$28</f>
        <v/>
      </c>
      <c r="Z21" s="13">
        <f>Z20*前提条件!$E$28</f>
        <v/>
      </c>
      <c r="AA21" s="13">
        <f>AA20*前提条件!$E$28</f>
        <v/>
      </c>
      <c r="AB21" s="13">
        <f>AB20*前提条件!$E$28</f>
        <v/>
      </c>
      <c r="AC21" s="13">
        <f>AC20*前提条件!$E$28</f>
        <v/>
      </c>
      <c r="AD21" s="13">
        <f>AD20*前提条件!$E$28</f>
        <v/>
      </c>
      <c r="AE21" s="13">
        <f>AE20*前提条件!$E$28</f>
        <v/>
      </c>
      <c r="AF21" s="13">
        <f>AF20*前提条件!$E$28</f>
        <v/>
      </c>
      <c r="AG21" s="13">
        <f>AG20*前提条件!$E$28</f>
        <v/>
      </c>
      <c r="AH21" s="13">
        <f>AH20*前提条件!$E$28</f>
        <v/>
      </c>
      <c r="AI21" s="13">
        <f>AI20*前提条件!$E$28</f>
        <v/>
      </c>
      <c r="AJ21" s="13">
        <f>AJ20*前提条件!$E$28</f>
        <v/>
      </c>
      <c r="AK21" s="13">
        <f>AK20*前提条件!$E$28</f>
        <v/>
      </c>
      <c r="AL21" s="13">
        <f>AL20*前提条件!$E$28</f>
        <v/>
      </c>
      <c r="AM21" s="13">
        <f>AM20*前提条件!$E$28</f>
        <v/>
      </c>
      <c r="AN21" s="13">
        <f>AN20*前提条件!$E$28</f>
        <v/>
      </c>
      <c r="AO21" s="13">
        <f>AO20*前提条件!$E$28</f>
        <v/>
      </c>
      <c r="AP21" s="13">
        <f>AP20*前提条件!$E$28</f>
        <v/>
      </c>
      <c r="AQ21" s="13">
        <f>AQ20*前提条件!$E$28</f>
        <v/>
      </c>
      <c r="AR21" s="13">
        <f>AR20*前提条件!$E$28</f>
        <v/>
      </c>
      <c r="AS21" s="13">
        <f>AS20*前提条件!$E$28</f>
        <v/>
      </c>
      <c r="AT21" s="13">
        <f>AT20*前提条件!$E$28</f>
        <v/>
      </c>
      <c r="AU21" s="13">
        <f>AU20*前提条件!$E$28</f>
        <v/>
      </c>
      <c r="AV21" s="13">
        <f>AV20*前提条件!$E$28</f>
        <v/>
      </c>
      <c r="AW21" s="13">
        <f>AW20*前提条件!$E$28</f>
        <v/>
      </c>
      <c r="AX21" s="13">
        <f>AX20*前提条件!$E$28</f>
        <v/>
      </c>
      <c r="AY21" s="13">
        <f>AY20*前提条件!$E$28</f>
        <v/>
      </c>
      <c r="AZ21" s="13">
        <f>AZ20*前提条件!$E$28</f>
        <v/>
      </c>
      <c r="BA21" s="13">
        <f>BA20*前提条件!$E$28</f>
        <v/>
      </c>
      <c r="BB21" s="13">
        <f>BB20*前提条件!$E$28</f>
        <v/>
      </c>
      <c r="BC21" s="13">
        <f>BC20*前提条件!$E$28</f>
        <v/>
      </c>
      <c r="BD21" s="13">
        <f>BD20*前提条件!$E$28</f>
        <v/>
      </c>
      <c r="BE21" s="13">
        <f>BE20*前提条件!$E$28</f>
        <v/>
      </c>
      <c r="BF21" s="13">
        <f>BF20*前提条件!$E$28</f>
        <v/>
      </c>
      <c r="BG21" s="13">
        <f>BG20*前提条件!$E$28</f>
        <v/>
      </c>
      <c r="BH21" s="13">
        <f>BH20*前提条件!$E$28</f>
        <v/>
      </c>
      <c r="BI21" s="13">
        <f>BI20*前提条件!$E$28</f>
        <v/>
      </c>
      <c r="BJ21" s="13">
        <f>BJ20*前提条件!$E$28</f>
        <v/>
      </c>
    </row>
    <row r="22">
      <c r="A22" t="inlineStr">
        <is>
          <t>マーケティング費</t>
        </is>
      </c>
      <c r="C22" s="13">
        <f>IF(C4=1,前提条件!$E$30,IF(C4=2,前提条件!$E$31,前提条件!$E$32))</f>
        <v/>
      </c>
      <c r="D22" s="13">
        <f>IF(D4=1,前提条件!$E$30,IF(D4=2,前提条件!$E$31,前提条件!$E$32))</f>
        <v/>
      </c>
      <c r="E22" s="13">
        <f>IF(E4=1,前提条件!$E$30,IF(E4=2,前提条件!$E$31,前提条件!$E$32))</f>
        <v/>
      </c>
      <c r="F22" s="13">
        <f>IF(F4=1,前提条件!$E$30,IF(F4=2,前提条件!$E$31,前提条件!$E$32))</f>
        <v/>
      </c>
      <c r="G22" s="13">
        <f>IF(G4=1,前提条件!$E$30,IF(G4=2,前提条件!$E$31,前提条件!$E$32))</f>
        <v/>
      </c>
      <c r="H22" s="13">
        <f>IF(H4=1,前提条件!$E$30,IF(H4=2,前提条件!$E$31,前提条件!$E$32))</f>
        <v/>
      </c>
      <c r="I22" s="13">
        <f>IF(I4=1,前提条件!$E$30,IF(I4=2,前提条件!$E$31,前提条件!$E$32))</f>
        <v/>
      </c>
      <c r="J22" s="13">
        <f>IF(J4=1,前提条件!$E$30,IF(J4=2,前提条件!$E$31,前提条件!$E$32))</f>
        <v/>
      </c>
      <c r="K22" s="13">
        <f>IF(K4=1,前提条件!$E$30,IF(K4=2,前提条件!$E$31,前提条件!$E$32))</f>
        <v/>
      </c>
      <c r="L22" s="13">
        <f>IF(L4=1,前提条件!$E$30,IF(L4=2,前提条件!$E$31,前提条件!$E$32))</f>
        <v/>
      </c>
      <c r="M22" s="13">
        <f>IF(M4=1,前提条件!$E$30,IF(M4=2,前提条件!$E$31,前提条件!$E$32))</f>
        <v/>
      </c>
      <c r="N22" s="13">
        <f>IF(N4=1,前提条件!$E$30,IF(N4=2,前提条件!$E$31,前提条件!$E$32))</f>
        <v/>
      </c>
      <c r="O22" s="13">
        <f>IF(O4=1,前提条件!$E$30,IF(O4=2,前提条件!$E$31,前提条件!$E$32))</f>
        <v/>
      </c>
      <c r="P22" s="13">
        <f>IF(P4=1,前提条件!$E$30,IF(P4=2,前提条件!$E$31,前提条件!$E$32))</f>
        <v/>
      </c>
      <c r="Q22" s="13">
        <f>IF(Q4=1,前提条件!$E$30,IF(Q4=2,前提条件!$E$31,前提条件!$E$32))</f>
        <v/>
      </c>
      <c r="R22" s="13">
        <f>IF(R4=1,前提条件!$E$30,IF(R4=2,前提条件!$E$31,前提条件!$E$32))</f>
        <v/>
      </c>
      <c r="S22" s="13">
        <f>IF(S4=1,前提条件!$E$30,IF(S4=2,前提条件!$E$31,前提条件!$E$32))</f>
        <v/>
      </c>
      <c r="T22" s="13">
        <f>IF(T4=1,前提条件!$E$30,IF(T4=2,前提条件!$E$31,前提条件!$E$32))</f>
        <v/>
      </c>
      <c r="U22" s="13">
        <f>IF(U4=1,前提条件!$E$30,IF(U4=2,前提条件!$E$31,前提条件!$E$32))</f>
        <v/>
      </c>
      <c r="V22" s="13">
        <f>IF(V4=1,前提条件!$E$30,IF(V4=2,前提条件!$E$31,前提条件!$E$32))</f>
        <v/>
      </c>
      <c r="W22" s="13">
        <f>IF(W4=1,前提条件!$E$30,IF(W4=2,前提条件!$E$31,前提条件!$E$32))</f>
        <v/>
      </c>
      <c r="X22" s="13">
        <f>IF(X4=1,前提条件!$E$30,IF(X4=2,前提条件!$E$31,前提条件!$E$32))</f>
        <v/>
      </c>
      <c r="Y22" s="13">
        <f>IF(Y4=1,前提条件!$E$30,IF(Y4=2,前提条件!$E$31,前提条件!$E$32))</f>
        <v/>
      </c>
      <c r="Z22" s="13">
        <f>IF(Z4=1,前提条件!$E$30,IF(Z4=2,前提条件!$E$31,前提条件!$E$32))</f>
        <v/>
      </c>
      <c r="AA22" s="13">
        <f>IF(AA4=1,前提条件!$E$30,IF(AA4=2,前提条件!$E$31,前提条件!$E$32))</f>
        <v/>
      </c>
      <c r="AB22" s="13">
        <f>IF(AB4=1,前提条件!$E$30,IF(AB4=2,前提条件!$E$31,前提条件!$E$32))</f>
        <v/>
      </c>
      <c r="AC22" s="13">
        <f>IF(AC4=1,前提条件!$E$30,IF(AC4=2,前提条件!$E$31,前提条件!$E$32))</f>
        <v/>
      </c>
      <c r="AD22" s="13">
        <f>IF(AD4=1,前提条件!$E$30,IF(AD4=2,前提条件!$E$31,前提条件!$E$32))</f>
        <v/>
      </c>
      <c r="AE22" s="13">
        <f>IF(AE4=1,前提条件!$E$30,IF(AE4=2,前提条件!$E$31,前提条件!$E$32))</f>
        <v/>
      </c>
      <c r="AF22" s="13">
        <f>IF(AF4=1,前提条件!$E$30,IF(AF4=2,前提条件!$E$31,前提条件!$E$32))</f>
        <v/>
      </c>
      <c r="AG22" s="13">
        <f>IF(AG4=1,前提条件!$E$30,IF(AG4=2,前提条件!$E$31,前提条件!$E$32))</f>
        <v/>
      </c>
      <c r="AH22" s="13">
        <f>IF(AH4=1,前提条件!$E$30,IF(AH4=2,前提条件!$E$31,前提条件!$E$32))</f>
        <v/>
      </c>
      <c r="AI22" s="13">
        <f>IF(AI4=1,前提条件!$E$30,IF(AI4=2,前提条件!$E$31,前提条件!$E$32))</f>
        <v/>
      </c>
      <c r="AJ22" s="13">
        <f>IF(AJ4=1,前提条件!$E$30,IF(AJ4=2,前提条件!$E$31,前提条件!$E$32))</f>
        <v/>
      </c>
      <c r="AK22" s="13">
        <f>IF(AK4=1,前提条件!$E$30,IF(AK4=2,前提条件!$E$31,前提条件!$E$32))</f>
        <v/>
      </c>
      <c r="AL22" s="13">
        <f>IF(AL4=1,前提条件!$E$30,IF(AL4=2,前提条件!$E$31,前提条件!$E$32))</f>
        <v/>
      </c>
      <c r="AM22" s="13">
        <f>IF(AM4=1,前提条件!$E$30,IF(AM4=2,前提条件!$E$31,前提条件!$E$32))</f>
        <v/>
      </c>
      <c r="AN22" s="13">
        <f>IF(AN4=1,前提条件!$E$30,IF(AN4=2,前提条件!$E$31,前提条件!$E$32))</f>
        <v/>
      </c>
      <c r="AO22" s="13">
        <f>IF(AO4=1,前提条件!$E$30,IF(AO4=2,前提条件!$E$31,前提条件!$E$32))</f>
        <v/>
      </c>
      <c r="AP22" s="13">
        <f>IF(AP4=1,前提条件!$E$30,IF(AP4=2,前提条件!$E$31,前提条件!$E$32))</f>
        <v/>
      </c>
      <c r="AQ22" s="13">
        <f>IF(AQ4=1,前提条件!$E$30,IF(AQ4=2,前提条件!$E$31,前提条件!$E$32))</f>
        <v/>
      </c>
      <c r="AR22" s="13">
        <f>IF(AR4=1,前提条件!$E$30,IF(AR4=2,前提条件!$E$31,前提条件!$E$32))</f>
        <v/>
      </c>
      <c r="AS22" s="13">
        <f>IF(AS4=1,前提条件!$E$30,IF(AS4=2,前提条件!$E$31,前提条件!$E$32))</f>
        <v/>
      </c>
      <c r="AT22" s="13">
        <f>IF(AT4=1,前提条件!$E$30,IF(AT4=2,前提条件!$E$31,前提条件!$E$32))</f>
        <v/>
      </c>
      <c r="AU22" s="13">
        <f>IF(AU4=1,前提条件!$E$30,IF(AU4=2,前提条件!$E$31,前提条件!$E$32))</f>
        <v/>
      </c>
      <c r="AV22" s="13">
        <f>IF(AV4=1,前提条件!$E$30,IF(AV4=2,前提条件!$E$31,前提条件!$E$32))</f>
        <v/>
      </c>
      <c r="AW22" s="13">
        <f>IF(AW4=1,前提条件!$E$30,IF(AW4=2,前提条件!$E$31,前提条件!$E$32))</f>
        <v/>
      </c>
      <c r="AX22" s="13">
        <f>IF(AX4=1,前提条件!$E$30,IF(AX4=2,前提条件!$E$31,前提条件!$E$32))</f>
        <v/>
      </c>
      <c r="AY22" s="13">
        <f>IF(AY4=1,前提条件!$E$30,IF(AY4=2,前提条件!$E$31,前提条件!$E$32))</f>
        <v/>
      </c>
      <c r="AZ22" s="13">
        <f>IF(AZ4=1,前提条件!$E$30,IF(AZ4=2,前提条件!$E$31,前提条件!$E$32))</f>
        <v/>
      </c>
      <c r="BA22" s="13">
        <f>IF(BA4=1,前提条件!$E$30,IF(BA4=2,前提条件!$E$31,前提条件!$E$32))</f>
        <v/>
      </c>
      <c r="BB22" s="13">
        <f>IF(BB4=1,前提条件!$E$30,IF(BB4=2,前提条件!$E$31,前提条件!$E$32))</f>
        <v/>
      </c>
      <c r="BC22" s="13">
        <f>IF(BC4=1,前提条件!$E$30,IF(BC4=2,前提条件!$E$31,前提条件!$E$32))</f>
        <v/>
      </c>
      <c r="BD22" s="13">
        <f>IF(BD4=1,前提条件!$E$30,IF(BD4=2,前提条件!$E$31,前提条件!$E$32))</f>
        <v/>
      </c>
      <c r="BE22" s="13">
        <f>IF(BE4=1,前提条件!$E$30,IF(BE4=2,前提条件!$E$31,前提条件!$E$32))</f>
        <v/>
      </c>
      <c r="BF22" s="13">
        <f>IF(BF4=1,前提条件!$E$30,IF(BF4=2,前提条件!$E$31,前提条件!$E$32))</f>
        <v/>
      </c>
      <c r="BG22" s="13">
        <f>IF(BG4=1,前提条件!$E$30,IF(BG4=2,前提条件!$E$31,前提条件!$E$32))</f>
        <v/>
      </c>
      <c r="BH22" s="13">
        <f>IF(BH4=1,前提条件!$E$30,IF(BH4=2,前提条件!$E$31,前提条件!$E$32))</f>
        <v/>
      </c>
      <c r="BI22" s="13">
        <f>IF(BI4=1,前提条件!$E$30,IF(BI4=2,前提条件!$E$31,前提条件!$E$32))</f>
        <v/>
      </c>
      <c r="BJ22" s="13">
        <f>IF(BJ4=1,前提条件!$E$30,IF(BJ4=2,前提条件!$E$31,前提条件!$E$32))</f>
        <v/>
      </c>
    </row>
    <row r="23">
      <c r="A23" t="inlineStr">
        <is>
          <t>家賃</t>
        </is>
      </c>
      <c r="C23" s="13">
        <f>IF(C4=1,前提条件!$E$33,IF(C4=2,前提条件!$E$34,前提条件!$E$35))</f>
        <v/>
      </c>
      <c r="D23" s="13">
        <f>IF(D4=1,前提条件!$E$33,IF(D4=2,前提条件!$E$34,前提条件!$E$35))</f>
        <v/>
      </c>
      <c r="E23" s="13">
        <f>IF(E4=1,前提条件!$E$33,IF(E4=2,前提条件!$E$34,前提条件!$E$35))</f>
        <v/>
      </c>
      <c r="F23" s="13">
        <f>IF(F4=1,前提条件!$E$33,IF(F4=2,前提条件!$E$34,前提条件!$E$35))</f>
        <v/>
      </c>
      <c r="G23" s="13">
        <f>IF(G4=1,前提条件!$E$33,IF(G4=2,前提条件!$E$34,前提条件!$E$35))</f>
        <v/>
      </c>
      <c r="H23" s="13">
        <f>IF(H4=1,前提条件!$E$33,IF(H4=2,前提条件!$E$34,前提条件!$E$35))</f>
        <v/>
      </c>
      <c r="I23" s="13">
        <f>IF(I4=1,前提条件!$E$33,IF(I4=2,前提条件!$E$34,前提条件!$E$35))</f>
        <v/>
      </c>
      <c r="J23" s="13">
        <f>IF(J4=1,前提条件!$E$33,IF(J4=2,前提条件!$E$34,前提条件!$E$35))</f>
        <v/>
      </c>
      <c r="K23" s="13">
        <f>IF(K4=1,前提条件!$E$33,IF(K4=2,前提条件!$E$34,前提条件!$E$35))</f>
        <v/>
      </c>
      <c r="L23" s="13">
        <f>IF(L4=1,前提条件!$E$33,IF(L4=2,前提条件!$E$34,前提条件!$E$35))</f>
        <v/>
      </c>
      <c r="M23" s="13">
        <f>IF(M4=1,前提条件!$E$33,IF(M4=2,前提条件!$E$34,前提条件!$E$35))</f>
        <v/>
      </c>
      <c r="N23" s="13">
        <f>IF(N4=1,前提条件!$E$33,IF(N4=2,前提条件!$E$34,前提条件!$E$35))</f>
        <v/>
      </c>
      <c r="O23" s="13">
        <f>IF(O4=1,前提条件!$E$33,IF(O4=2,前提条件!$E$34,前提条件!$E$35))</f>
        <v/>
      </c>
      <c r="P23" s="13">
        <f>IF(P4=1,前提条件!$E$33,IF(P4=2,前提条件!$E$34,前提条件!$E$35))</f>
        <v/>
      </c>
      <c r="Q23" s="13">
        <f>IF(Q4=1,前提条件!$E$33,IF(Q4=2,前提条件!$E$34,前提条件!$E$35))</f>
        <v/>
      </c>
      <c r="R23" s="13">
        <f>IF(R4=1,前提条件!$E$33,IF(R4=2,前提条件!$E$34,前提条件!$E$35))</f>
        <v/>
      </c>
      <c r="S23" s="13">
        <f>IF(S4=1,前提条件!$E$33,IF(S4=2,前提条件!$E$34,前提条件!$E$35))</f>
        <v/>
      </c>
      <c r="T23" s="13">
        <f>IF(T4=1,前提条件!$E$33,IF(T4=2,前提条件!$E$34,前提条件!$E$35))</f>
        <v/>
      </c>
      <c r="U23" s="13">
        <f>IF(U4=1,前提条件!$E$33,IF(U4=2,前提条件!$E$34,前提条件!$E$35))</f>
        <v/>
      </c>
      <c r="V23" s="13">
        <f>IF(V4=1,前提条件!$E$33,IF(V4=2,前提条件!$E$34,前提条件!$E$35))</f>
        <v/>
      </c>
      <c r="W23" s="13">
        <f>IF(W4=1,前提条件!$E$33,IF(W4=2,前提条件!$E$34,前提条件!$E$35))</f>
        <v/>
      </c>
      <c r="X23" s="13">
        <f>IF(X4=1,前提条件!$E$33,IF(X4=2,前提条件!$E$34,前提条件!$E$35))</f>
        <v/>
      </c>
      <c r="Y23" s="13">
        <f>IF(Y4=1,前提条件!$E$33,IF(Y4=2,前提条件!$E$34,前提条件!$E$35))</f>
        <v/>
      </c>
      <c r="Z23" s="13">
        <f>IF(Z4=1,前提条件!$E$33,IF(Z4=2,前提条件!$E$34,前提条件!$E$35))</f>
        <v/>
      </c>
      <c r="AA23" s="13">
        <f>IF(AA4=1,前提条件!$E$33,IF(AA4=2,前提条件!$E$34,前提条件!$E$35))</f>
        <v/>
      </c>
      <c r="AB23" s="13">
        <f>IF(AB4=1,前提条件!$E$33,IF(AB4=2,前提条件!$E$34,前提条件!$E$35))</f>
        <v/>
      </c>
      <c r="AC23" s="13">
        <f>IF(AC4=1,前提条件!$E$33,IF(AC4=2,前提条件!$E$34,前提条件!$E$35))</f>
        <v/>
      </c>
      <c r="AD23" s="13">
        <f>IF(AD4=1,前提条件!$E$33,IF(AD4=2,前提条件!$E$34,前提条件!$E$35))</f>
        <v/>
      </c>
      <c r="AE23" s="13">
        <f>IF(AE4=1,前提条件!$E$33,IF(AE4=2,前提条件!$E$34,前提条件!$E$35))</f>
        <v/>
      </c>
      <c r="AF23" s="13">
        <f>IF(AF4=1,前提条件!$E$33,IF(AF4=2,前提条件!$E$34,前提条件!$E$35))</f>
        <v/>
      </c>
      <c r="AG23" s="13">
        <f>IF(AG4=1,前提条件!$E$33,IF(AG4=2,前提条件!$E$34,前提条件!$E$35))</f>
        <v/>
      </c>
      <c r="AH23" s="13">
        <f>IF(AH4=1,前提条件!$E$33,IF(AH4=2,前提条件!$E$34,前提条件!$E$35))</f>
        <v/>
      </c>
      <c r="AI23" s="13">
        <f>IF(AI4=1,前提条件!$E$33,IF(AI4=2,前提条件!$E$34,前提条件!$E$35))</f>
        <v/>
      </c>
      <c r="AJ23" s="13">
        <f>IF(AJ4=1,前提条件!$E$33,IF(AJ4=2,前提条件!$E$34,前提条件!$E$35))</f>
        <v/>
      </c>
      <c r="AK23" s="13">
        <f>IF(AK4=1,前提条件!$E$33,IF(AK4=2,前提条件!$E$34,前提条件!$E$35))</f>
        <v/>
      </c>
      <c r="AL23" s="13">
        <f>IF(AL4=1,前提条件!$E$33,IF(AL4=2,前提条件!$E$34,前提条件!$E$35))</f>
        <v/>
      </c>
      <c r="AM23" s="13">
        <f>IF(AM4=1,前提条件!$E$33,IF(AM4=2,前提条件!$E$34,前提条件!$E$35))</f>
        <v/>
      </c>
      <c r="AN23" s="13">
        <f>IF(AN4=1,前提条件!$E$33,IF(AN4=2,前提条件!$E$34,前提条件!$E$35))</f>
        <v/>
      </c>
      <c r="AO23" s="13">
        <f>IF(AO4=1,前提条件!$E$33,IF(AO4=2,前提条件!$E$34,前提条件!$E$35))</f>
        <v/>
      </c>
      <c r="AP23" s="13">
        <f>IF(AP4=1,前提条件!$E$33,IF(AP4=2,前提条件!$E$34,前提条件!$E$35))</f>
        <v/>
      </c>
      <c r="AQ23" s="13">
        <f>IF(AQ4=1,前提条件!$E$33,IF(AQ4=2,前提条件!$E$34,前提条件!$E$35))</f>
        <v/>
      </c>
      <c r="AR23" s="13">
        <f>IF(AR4=1,前提条件!$E$33,IF(AR4=2,前提条件!$E$34,前提条件!$E$35))</f>
        <v/>
      </c>
      <c r="AS23" s="13">
        <f>IF(AS4=1,前提条件!$E$33,IF(AS4=2,前提条件!$E$34,前提条件!$E$35))</f>
        <v/>
      </c>
      <c r="AT23" s="13">
        <f>IF(AT4=1,前提条件!$E$33,IF(AT4=2,前提条件!$E$34,前提条件!$E$35))</f>
        <v/>
      </c>
      <c r="AU23" s="13">
        <f>IF(AU4=1,前提条件!$E$33,IF(AU4=2,前提条件!$E$34,前提条件!$E$35))</f>
        <v/>
      </c>
      <c r="AV23" s="13">
        <f>IF(AV4=1,前提条件!$E$33,IF(AV4=2,前提条件!$E$34,前提条件!$E$35))</f>
        <v/>
      </c>
      <c r="AW23" s="13">
        <f>IF(AW4=1,前提条件!$E$33,IF(AW4=2,前提条件!$E$34,前提条件!$E$35))</f>
        <v/>
      </c>
      <c r="AX23" s="13">
        <f>IF(AX4=1,前提条件!$E$33,IF(AX4=2,前提条件!$E$34,前提条件!$E$35))</f>
        <v/>
      </c>
      <c r="AY23" s="13">
        <f>IF(AY4=1,前提条件!$E$33,IF(AY4=2,前提条件!$E$34,前提条件!$E$35))</f>
        <v/>
      </c>
      <c r="AZ23" s="13">
        <f>IF(AZ4=1,前提条件!$E$33,IF(AZ4=2,前提条件!$E$34,前提条件!$E$35))</f>
        <v/>
      </c>
      <c r="BA23" s="13">
        <f>IF(BA4=1,前提条件!$E$33,IF(BA4=2,前提条件!$E$34,前提条件!$E$35))</f>
        <v/>
      </c>
      <c r="BB23" s="13">
        <f>IF(BB4=1,前提条件!$E$33,IF(BB4=2,前提条件!$E$34,前提条件!$E$35))</f>
        <v/>
      </c>
      <c r="BC23" s="13">
        <f>IF(BC4=1,前提条件!$E$33,IF(BC4=2,前提条件!$E$34,前提条件!$E$35))</f>
        <v/>
      </c>
      <c r="BD23" s="13">
        <f>IF(BD4=1,前提条件!$E$33,IF(BD4=2,前提条件!$E$34,前提条件!$E$35))</f>
        <v/>
      </c>
      <c r="BE23" s="13">
        <f>IF(BE4=1,前提条件!$E$33,IF(BE4=2,前提条件!$E$34,前提条件!$E$35))</f>
        <v/>
      </c>
      <c r="BF23" s="13">
        <f>IF(BF4=1,前提条件!$E$33,IF(BF4=2,前提条件!$E$34,前提条件!$E$35))</f>
        <v/>
      </c>
      <c r="BG23" s="13">
        <f>IF(BG4=1,前提条件!$E$33,IF(BG4=2,前提条件!$E$34,前提条件!$E$35))</f>
        <v/>
      </c>
      <c r="BH23" s="13">
        <f>IF(BH4=1,前提条件!$E$33,IF(BH4=2,前提条件!$E$34,前提条件!$E$35))</f>
        <v/>
      </c>
      <c r="BI23" s="13">
        <f>IF(BI4=1,前提条件!$E$33,IF(BI4=2,前提条件!$E$34,前提条件!$E$35))</f>
        <v/>
      </c>
      <c r="BJ23" s="13">
        <f>IF(BJ4=1,前提条件!$E$33,IF(BJ4=2,前提条件!$E$34,前提条件!$E$35))</f>
        <v/>
      </c>
    </row>
    <row r="24">
      <c r="A24" t="inlineStr">
        <is>
          <t>法務・会計・雑費</t>
        </is>
      </c>
      <c r="C24" s="13">
        <f>前提条件!$E$36</f>
        <v/>
      </c>
      <c r="D24" s="13">
        <f>前提条件!$E$36</f>
        <v/>
      </c>
      <c r="E24" s="13">
        <f>前提条件!$E$36</f>
        <v/>
      </c>
      <c r="F24" s="13">
        <f>前提条件!$E$36</f>
        <v/>
      </c>
      <c r="G24" s="13">
        <f>前提条件!$E$36</f>
        <v/>
      </c>
      <c r="H24" s="13">
        <f>前提条件!$E$36</f>
        <v/>
      </c>
      <c r="I24" s="13">
        <f>前提条件!$E$36</f>
        <v/>
      </c>
      <c r="J24" s="13">
        <f>前提条件!$E$36</f>
        <v/>
      </c>
      <c r="K24" s="13">
        <f>前提条件!$E$36</f>
        <v/>
      </c>
      <c r="L24" s="13">
        <f>前提条件!$E$36</f>
        <v/>
      </c>
      <c r="M24" s="13">
        <f>前提条件!$E$36</f>
        <v/>
      </c>
      <c r="N24" s="13">
        <f>前提条件!$E$36</f>
        <v/>
      </c>
      <c r="O24" s="13">
        <f>前提条件!$E$36</f>
        <v/>
      </c>
      <c r="P24" s="13">
        <f>前提条件!$E$36</f>
        <v/>
      </c>
      <c r="Q24" s="13">
        <f>前提条件!$E$36</f>
        <v/>
      </c>
      <c r="R24" s="13">
        <f>前提条件!$E$36</f>
        <v/>
      </c>
      <c r="S24" s="13">
        <f>前提条件!$E$36</f>
        <v/>
      </c>
      <c r="T24" s="13">
        <f>前提条件!$E$36</f>
        <v/>
      </c>
      <c r="U24" s="13">
        <f>前提条件!$E$36</f>
        <v/>
      </c>
      <c r="V24" s="13">
        <f>前提条件!$E$36</f>
        <v/>
      </c>
      <c r="W24" s="13">
        <f>前提条件!$E$36</f>
        <v/>
      </c>
      <c r="X24" s="13">
        <f>前提条件!$E$36</f>
        <v/>
      </c>
      <c r="Y24" s="13">
        <f>前提条件!$E$36</f>
        <v/>
      </c>
      <c r="Z24" s="13">
        <f>前提条件!$E$36</f>
        <v/>
      </c>
      <c r="AA24" s="13">
        <f>前提条件!$E$36</f>
        <v/>
      </c>
      <c r="AB24" s="13">
        <f>前提条件!$E$36</f>
        <v/>
      </c>
      <c r="AC24" s="13">
        <f>前提条件!$E$36</f>
        <v/>
      </c>
      <c r="AD24" s="13">
        <f>前提条件!$E$36</f>
        <v/>
      </c>
      <c r="AE24" s="13">
        <f>前提条件!$E$36</f>
        <v/>
      </c>
      <c r="AF24" s="13">
        <f>前提条件!$E$36</f>
        <v/>
      </c>
      <c r="AG24" s="13">
        <f>前提条件!$E$36</f>
        <v/>
      </c>
      <c r="AH24" s="13">
        <f>前提条件!$E$36</f>
        <v/>
      </c>
      <c r="AI24" s="13">
        <f>前提条件!$E$36</f>
        <v/>
      </c>
      <c r="AJ24" s="13">
        <f>前提条件!$E$36</f>
        <v/>
      </c>
      <c r="AK24" s="13">
        <f>前提条件!$E$36</f>
        <v/>
      </c>
      <c r="AL24" s="13">
        <f>前提条件!$E$36</f>
        <v/>
      </c>
      <c r="AM24" s="13">
        <f>前提条件!$E$36</f>
        <v/>
      </c>
      <c r="AN24" s="13">
        <f>前提条件!$E$36</f>
        <v/>
      </c>
      <c r="AO24" s="13">
        <f>前提条件!$E$36</f>
        <v/>
      </c>
      <c r="AP24" s="13">
        <f>前提条件!$E$36</f>
        <v/>
      </c>
      <c r="AQ24" s="13">
        <f>前提条件!$E$36</f>
        <v/>
      </c>
      <c r="AR24" s="13">
        <f>前提条件!$E$36</f>
        <v/>
      </c>
      <c r="AS24" s="13">
        <f>前提条件!$E$36</f>
        <v/>
      </c>
      <c r="AT24" s="13">
        <f>前提条件!$E$36</f>
        <v/>
      </c>
      <c r="AU24" s="13">
        <f>前提条件!$E$36</f>
        <v/>
      </c>
      <c r="AV24" s="13">
        <f>前提条件!$E$36</f>
        <v/>
      </c>
      <c r="AW24" s="13">
        <f>前提条件!$E$36</f>
        <v/>
      </c>
      <c r="AX24" s="13">
        <f>前提条件!$E$36</f>
        <v/>
      </c>
      <c r="AY24" s="13">
        <f>前提条件!$E$36</f>
        <v/>
      </c>
      <c r="AZ24" s="13">
        <f>前提条件!$E$36</f>
        <v/>
      </c>
      <c r="BA24" s="13">
        <f>前提条件!$E$36</f>
        <v/>
      </c>
      <c r="BB24" s="13">
        <f>前提条件!$E$36</f>
        <v/>
      </c>
      <c r="BC24" s="13">
        <f>前提条件!$E$36</f>
        <v/>
      </c>
      <c r="BD24" s="13">
        <f>前提条件!$E$36</f>
        <v/>
      </c>
      <c r="BE24" s="13">
        <f>前提条件!$E$36</f>
        <v/>
      </c>
      <c r="BF24" s="13">
        <f>前提条件!$E$36</f>
        <v/>
      </c>
      <c r="BG24" s="13">
        <f>前提条件!$E$36</f>
        <v/>
      </c>
      <c r="BH24" s="13">
        <f>前提条件!$E$36</f>
        <v/>
      </c>
      <c r="BI24" s="13">
        <f>前提条件!$E$36</f>
        <v/>
      </c>
      <c r="BJ24" s="13">
        <f>前提条件!$E$36</f>
        <v/>
      </c>
    </row>
    <row r="25">
      <c r="A25" s="5" t="inlineStr">
        <is>
          <t>費用合計</t>
        </is>
      </c>
      <c r="B25" s="5" t="n"/>
      <c r="C25" s="14">
        <f>C14+C15+C16+C17+C19+C21+C22+C23+C24</f>
        <v/>
      </c>
      <c r="D25" s="14">
        <f>D14+D15+D16+D17+D19+D21+D22+D23+D24</f>
        <v/>
      </c>
      <c r="E25" s="14">
        <f>E14+E15+E16+E17+E19+E21+E22+E23+E24</f>
        <v/>
      </c>
      <c r="F25" s="14">
        <f>F14+F15+F16+F17+F19+F21+F22+F23+F24</f>
        <v/>
      </c>
      <c r="G25" s="14">
        <f>G14+G15+G16+G17+G19+G21+G22+G23+G24</f>
        <v/>
      </c>
      <c r="H25" s="14">
        <f>H14+H15+H16+H17+H19+H21+H22+H23+H24</f>
        <v/>
      </c>
      <c r="I25" s="14">
        <f>I14+I15+I16+I17+I19+I21+I22+I23+I24</f>
        <v/>
      </c>
      <c r="J25" s="14">
        <f>J14+J15+J16+J17+J19+J21+J22+J23+J24</f>
        <v/>
      </c>
      <c r="K25" s="14">
        <f>K14+K15+K16+K17+K19+K21+K22+K23+K24</f>
        <v/>
      </c>
      <c r="L25" s="14">
        <f>L14+L15+L16+L17+L19+L21+L22+L23+L24</f>
        <v/>
      </c>
      <c r="M25" s="14">
        <f>M14+M15+M16+M17+M19+M21+M22+M23+M24</f>
        <v/>
      </c>
      <c r="N25" s="14">
        <f>N14+N15+N16+N17+N19+N21+N22+N23+N24</f>
        <v/>
      </c>
      <c r="O25" s="14">
        <f>O14+O15+O16+O17+O19+O21+O22+O23+O24</f>
        <v/>
      </c>
      <c r="P25" s="14">
        <f>P14+P15+P16+P17+P19+P21+P22+P23+P24</f>
        <v/>
      </c>
      <c r="Q25" s="14">
        <f>Q14+Q15+Q16+Q17+Q19+Q21+Q22+Q23+Q24</f>
        <v/>
      </c>
      <c r="R25" s="14">
        <f>R14+R15+R16+R17+R19+R21+R22+R23+R24</f>
        <v/>
      </c>
      <c r="S25" s="14">
        <f>S14+S15+S16+S17+S19+S21+S22+S23+S24</f>
        <v/>
      </c>
      <c r="T25" s="14">
        <f>T14+T15+T16+T17+T19+T21+T22+T23+T24</f>
        <v/>
      </c>
      <c r="U25" s="14">
        <f>U14+U15+U16+U17+U19+U21+U22+U23+U24</f>
        <v/>
      </c>
      <c r="V25" s="14">
        <f>V14+V15+V16+V17+V19+V21+V22+V23+V24</f>
        <v/>
      </c>
      <c r="W25" s="14">
        <f>W14+W15+W16+W17+W19+W21+W22+W23+W24</f>
        <v/>
      </c>
      <c r="X25" s="14">
        <f>X14+X15+X16+X17+X19+X21+X22+X23+X24</f>
        <v/>
      </c>
      <c r="Y25" s="14">
        <f>Y14+Y15+Y16+Y17+Y19+Y21+Y22+Y23+Y24</f>
        <v/>
      </c>
      <c r="Z25" s="14">
        <f>Z14+Z15+Z16+Z17+Z19+Z21+Z22+Z23+Z24</f>
        <v/>
      </c>
      <c r="AA25" s="14">
        <f>AA14+AA15+AA16+AA17+AA19+AA21+AA22+AA23+AA24</f>
        <v/>
      </c>
      <c r="AB25" s="14">
        <f>AB14+AB15+AB16+AB17+AB19+AB21+AB22+AB23+AB24</f>
        <v/>
      </c>
      <c r="AC25" s="14">
        <f>AC14+AC15+AC16+AC17+AC19+AC21+AC22+AC23+AC24</f>
        <v/>
      </c>
      <c r="AD25" s="14">
        <f>AD14+AD15+AD16+AD17+AD19+AD21+AD22+AD23+AD24</f>
        <v/>
      </c>
      <c r="AE25" s="14">
        <f>AE14+AE15+AE16+AE17+AE19+AE21+AE22+AE23+AE24</f>
        <v/>
      </c>
      <c r="AF25" s="14">
        <f>AF14+AF15+AF16+AF17+AF19+AF21+AF22+AF23+AF24</f>
        <v/>
      </c>
      <c r="AG25" s="14">
        <f>AG14+AG15+AG16+AG17+AG19+AG21+AG22+AG23+AG24</f>
        <v/>
      </c>
      <c r="AH25" s="14">
        <f>AH14+AH15+AH16+AH17+AH19+AH21+AH22+AH23+AH24</f>
        <v/>
      </c>
      <c r="AI25" s="14">
        <f>AI14+AI15+AI16+AI17+AI19+AI21+AI22+AI23+AI24</f>
        <v/>
      </c>
      <c r="AJ25" s="14">
        <f>AJ14+AJ15+AJ16+AJ17+AJ19+AJ21+AJ22+AJ23+AJ24</f>
        <v/>
      </c>
      <c r="AK25" s="14">
        <f>AK14+AK15+AK16+AK17+AK19+AK21+AK22+AK23+AK24</f>
        <v/>
      </c>
      <c r="AL25" s="14">
        <f>AL14+AL15+AL16+AL17+AL19+AL21+AL22+AL23+AL24</f>
        <v/>
      </c>
      <c r="AM25" s="14">
        <f>AM14+AM15+AM16+AM17+AM19+AM21+AM22+AM23+AM24</f>
        <v/>
      </c>
      <c r="AN25" s="14">
        <f>AN14+AN15+AN16+AN17+AN19+AN21+AN22+AN23+AN24</f>
        <v/>
      </c>
      <c r="AO25" s="14">
        <f>AO14+AO15+AO16+AO17+AO19+AO21+AO22+AO23+AO24</f>
        <v/>
      </c>
      <c r="AP25" s="14">
        <f>AP14+AP15+AP16+AP17+AP19+AP21+AP22+AP23+AP24</f>
        <v/>
      </c>
      <c r="AQ25" s="14">
        <f>AQ14+AQ15+AQ16+AQ17+AQ19+AQ21+AQ22+AQ23+AQ24</f>
        <v/>
      </c>
      <c r="AR25" s="14">
        <f>AR14+AR15+AR16+AR17+AR19+AR21+AR22+AR23+AR24</f>
        <v/>
      </c>
      <c r="AS25" s="14">
        <f>AS14+AS15+AS16+AS17+AS19+AS21+AS22+AS23+AS24</f>
        <v/>
      </c>
      <c r="AT25" s="14">
        <f>AT14+AT15+AT16+AT17+AT19+AT21+AT22+AT23+AT24</f>
        <v/>
      </c>
      <c r="AU25" s="14">
        <f>AU14+AU15+AU16+AU17+AU19+AU21+AU22+AU23+AU24</f>
        <v/>
      </c>
      <c r="AV25" s="14">
        <f>AV14+AV15+AV16+AV17+AV19+AV21+AV22+AV23+AV24</f>
        <v/>
      </c>
      <c r="AW25" s="14">
        <f>AW14+AW15+AW16+AW17+AW19+AW21+AW22+AW23+AW24</f>
        <v/>
      </c>
      <c r="AX25" s="14">
        <f>AX14+AX15+AX16+AX17+AX19+AX21+AX22+AX23+AX24</f>
        <v/>
      </c>
      <c r="AY25" s="14">
        <f>AY14+AY15+AY16+AY17+AY19+AY21+AY22+AY23+AY24</f>
        <v/>
      </c>
      <c r="AZ25" s="14">
        <f>AZ14+AZ15+AZ16+AZ17+AZ19+AZ21+AZ22+AZ23+AZ24</f>
        <v/>
      </c>
      <c r="BA25" s="14">
        <f>BA14+BA15+BA16+BA17+BA19+BA21+BA22+BA23+BA24</f>
        <v/>
      </c>
      <c r="BB25" s="14">
        <f>BB14+BB15+BB16+BB17+BB19+BB21+BB22+BB23+BB24</f>
        <v/>
      </c>
      <c r="BC25" s="14">
        <f>BC14+BC15+BC16+BC17+BC19+BC21+BC22+BC23+BC24</f>
        <v/>
      </c>
      <c r="BD25" s="14">
        <f>BD14+BD15+BD16+BD17+BD19+BD21+BD22+BD23+BD24</f>
        <v/>
      </c>
      <c r="BE25" s="14">
        <f>BE14+BE15+BE16+BE17+BE19+BE21+BE22+BE23+BE24</f>
        <v/>
      </c>
      <c r="BF25" s="14">
        <f>BF14+BF15+BF16+BF17+BF19+BF21+BF22+BF23+BF24</f>
        <v/>
      </c>
      <c r="BG25" s="14">
        <f>BG14+BG15+BG16+BG17+BG19+BG21+BG22+BG23+BG24</f>
        <v/>
      </c>
      <c r="BH25" s="14">
        <f>BH14+BH15+BH16+BH17+BH19+BH21+BH22+BH23+BH24</f>
        <v/>
      </c>
      <c r="BI25" s="14">
        <f>BI14+BI15+BI16+BI17+BI19+BI21+BI22+BI23+BI24</f>
        <v/>
      </c>
      <c r="BJ25" s="13">
        <f>BJ14+BJ15+BJ16+BJ17+BJ19+BJ21+BJ22+BJ23+BJ24</f>
        <v/>
      </c>
    </row>
    <row r="26">
      <c r="A26" s="5" t="inlineStr">
        <is>
          <t>営業利益</t>
        </is>
      </c>
      <c r="B26" s="5" t="n"/>
      <c r="C26" s="14">
        <f>C13-C25</f>
        <v/>
      </c>
      <c r="D26" s="14">
        <f>D13-D25</f>
        <v/>
      </c>
      <c r="E26" s="14">
        <f>E13-E25</f>
        <v/>
      </c>
      <c r="F26" s="14">
        <f>F13-F25</f>
        <v/>
      </c>
      <c r="G26" s="14">
        <f>G13-G25</f>
        <v/>
      </c>
      <c r="H26" s="14">
        <f>H13-H25</f>
        <v/>
      </c>
      <c r="I26" s="14">
        <f>I13-I25</f>
        <v/>
      </c>
      <c r="J26" s="14">
        <f>J13-J25</f>
        <v/>
      </c>
      <c r="K26" s="14">
        <f>K13-K25</f>
        <v/>
      </c>
      <c r="L26" s="14">
        <f>L13-L25</f>
        <v/>
      </c>
      <c r="M26" s="14">
        <f>M13-M25</f>
        <v/>
      </c>
      <c r="N26" s="14">
        <f>N13-N25</f>
        <v/>
      </c>
      <c r="O26" s="14">
        <f>O13-O25</f>
        <v/>
      </c>
      <c r="P26" s="14">
        <f>P13-P25</f>
        <v/>
      </c>
      <c r="Q26" s="14">
        <f>Q13-Q25</f>
        <v/>
      </c>
      <c r="R26" s="14">
        <f>R13-R25</f>
        <v/>
      </c>
      <c r="S26" s="14">
        <f>S13-S25</f>
        <v/>
      </c>
      <c r="T26" s="14">
        <f>T13-T25</f>
        <v/>
      </c>
      <c r="U26" s="14">
        <f>U13-U25</f>
        <v/>
      </c>
      <c r="V26" s="14">
        <f>V13-V25</f>
        <v/>
      </c>
      <c r="W26" s="14">
        <f>W13-W25</f>
        <v/>
      </c>
      <c r="X26" s="14">
        <f>X13-X25</f>
        <v/>
      </c>
      <c r="Y26" s="14">
        <f>Y13-Y25</f>
        <v/>
      </c>
      <c r="Z26" s="14">
        <f>Z13-Z25</f>
        <v/>
      </c>
      <c r="AA26" s="14">
        <f>AA13-AA25</f>
        <v/>
      </c>
      <c r="AB26" s="14">
        <f>AB13-AB25</f>
        <v/>
      </c>
      <c r="AC26" s="14">
        <f>AC13-AC25</f>
        <v/>
      </c>
      <c r="AD26" s="14">
        <f>AD13-AD25</f>
        <v/>
      </c>
      <c r="AE26" s="14">
        <f>AE13-AE25</f>
        <v/>
      </c>
      <c r="AF26" s="14">
        <f>AF13-AF25</f>
        <v/>
      </c>
      <c r="AG26" s="14">
        <f>AG13-AG25</f>
        <v/>
      </c>
      <c r="AH26" s="14">
        <f>AH13-AH25</f>
        <v/>
      </c>
      <c r="AI26" s="14">
        <f>AI13-AI25</f>
        <v/>
      </c>
      <c r="AJ26" s="14">
        <f>AJ13-AJ25</f>
        <v/>
      </c>
      <c r="AK26" s="14">
        <f>AK13-AK25</f>
        <v/>
      </c>
      <c r="AL26" s="14">
        <f>AL13-AL25</f>
        <v/>
      </c>
      <c r="AM26" s="14">
        <f>AM13-AM25</f>
        <v/>
      </c>
      <c r="AN26" s="14">
        <f>AN13-AN25</f>
        <v/>
      </c>
      <c r="AO26" s="14">
        <f>AO13-AO25</f>
        <v/>
      </c>
      <c r="AP26" s="14">
        <f>AP13-AP25</f>
        <v/>
      </c>
      <c r="AQ26" s="14">
        <f>AQ13-AQ25</f>
        <v/>
      </c>
      <c r="AR26" s="14">
        <f>AR13-AR25</f>
        <v/>
      </c>
      <c r="AS26" s="14">
        <f>AS13-AS25</f>
        <v/>
      </c>
      <c r="AT26" s="14">
        <f>AT13-AT25</f>
        <v/>
      </c>
      <c r="AU26" s="14">
        <f>AU13-AU25</f>
        <v/>
      </c>
      <c r="AV26" s="14">
        <f>AV13-AV25</f>
        <v/>
      </c>
      <c r="AW26" s="14">
        <f>AW13-AW25</f>
        <v/>
      </c>
      <c r="AX26" s="14">
        <f>AX13-AX25</f>
        <v/>
      </c>
      <c r="AY26" s="14">
        <f>AY13-AY25</f>
        <v/>
      </c>
      <c r="AZ26" s="14">
        <f>AZ13-AZ25</f>
        <v/>
      </c>
      <c r="BA26" s="14">
        <f>BA13-BA25</f>
        <v/>
      </c>
      <c r="BB26" s="14">
        <f>BB13-BB25</f>
        <v/>
      </c>
      <c r="BC26" s="14">
        <f>BC13-BC25</f>
        <v/>
      </c>
      <c r="BD26" s="14">
        <f>BD13-BD25</f>
        <v/>
      </c>
      <c r="BE26" s="14">
        <f>BE13-BE25</f>
        <v/>
      </c>
      <c r="BF26" s="14">
        <f>BF13-BF25</f>
        <v/>
      </c>
      <c r="BG26" s="14">
        <f>BG13-BG25</f>
        <v/>
      </c>
      <c r="BH26" s="14">
        <f>BH13-BH25</f>
        <v/>
      </c>
      <c r="BI26" s="14">
        <f>BI13-BI25</f>
        <v/>
      </c>
      <c r="BJ26" s="13">
        <f>BJ13-BJ25</f>
        <v/>
      </c>
    </row>
    <row r="27">
      <c r="A27" s="5" t="inlineStr">
        <is>
          <t>累計損益(初期投資込)</t>
        </is>
      </c>
      <c r="B27" s="5" t="n"/>
      <c r="C27" s="14">
        <f>-前提条件!$E$19+C26</f>
        <v/>
      </c>
      <c r="D27" s="14">
        <f>C27+D26</f>
        <v/>
      </c>
      <c r="E27" s="14">
        <f>D27+E26</f>
        <v/>
      </c>
      <c r="F27" s="14">
        <f>E27+F26</f>
        <v/>
      </c>
      <c r="G27" s="14">
        <f>F27+G26</f>
        <v/>
      </c>
      <c r="H27" s="14">
        <f>G27+H26</f>
        <v/>
      </c>
      <c r="I27" s="14">
        <f>H27+I26</f>
        <v/>
      </c>
      <c r="J27" s="14">
        <f>I27+J26</f>
        <v/>
      </c>
      <c r="K27" s="14">
        <f>J27+K26</f>
        <v/>
      </c>
      <c r="L27" s="14">
        <f>K27+L26</f>
        <v/>
      </c>
      <c r="M27" s="14">
        <f>L27+M26</f>
        <v/>
      </c>
      <c r="N27" s="14">
        <f>M27+N26</f>
        <v/>
      </c>
      <c r="O27" s="14">
        <f>N27+O26</f>
        <v/>
      </c>
      <c r="P27" s="14">
        <f>O27+P26</f>
        <v/>
      </c>
      <c r="Q27" s="14">
        <f>P27+Q26</f>
        <v/>
      </c>
      <c r="R27" s="14">
        <f>Q27+R26</f>
        <v/>
      </c>
      <c r="S27" s="14">
        <f>R27+S26</f>
        <v/>
      </c>
      <c r="T27" s="14">
        <f>S27+T26</f>
        <v/>
      </c>
      <c r="U27" s="14">
        <f>T27+U26</f>
        <v/>
      </c>
      <c r="V27" s="14">
        <f>U27+V26</f>
        <v/>
      </c>
      <c r="W27" s="14">
        <f>V27+W26</f>
        <v/>
      </c>
      <c r="X27" s="14">
        <f>W27+X26</f>
        <v/>
      </c>
      <c r="Y27" s="14">
        <f>X27+Y26</f>
        <v/>
      </c>
      <c r="Z27" s="14">
        <f>Y27+Z26</f>
        <v/>
      </c>
      <c r="AA27" s="14">
        <f>Z27+AA26</f>
        <v/>
      </c>
      <c r="AB27" s="14">
        <f>AA27+AB26</f>
        <v/>
      </c>
      <c r="AC27" s="14">
        <f>AB27+AC26</f>
        <v/>
      </c>
      <c r="AD27" s="14">
        <f>AC27+AD26</f>
        <v/>
      </c>
      <c r="AE27" s="14">
        <f>AD27+AE26</f>
        <v/>
      </c>
      <c r="AF27" s="14">
        <f>AE27+AF26</f>
        <v/>
      </c>
      <c r="AG27" s="14">
        <f>AF27+AG26</f>
        <v/>
      </c>
      <c r="AH27" s="14">
        <f>AG27+AH26</f>
        <v/>
      </c>
      <c r="AI27" s="14">
        <f>AH27+AI26</f>
        <v/>
      </c>
      <c r="AJ27" s="14">
        <f>AI27+AJ26</f>
        <v/>
      </c>
      <c r="AK27" s="14">
        <f>AJ27+AK26</f>
        <v/>
      </c>
      <c r="AL27" s="14">
        <f>AK27+AL26</f>
        <v/>
      </c>
      <c r="AM27" s="14">
        <f>AL27+AM26</f>
        <v/>
      </c>
      <c r="AN27" s="14">
        <f>AM27+AN26</f>
        <v/>
      </c>
      <c r="AO27" s="14">
        <f>AN27+AO26</f>
        <v/>
      </c>
      <c r="AP27" s="14">
        <f>AO27+AP26</f>
        <v/>
      </c>
      <c r="AQ27" s="14">
        <f>AP27+AQ26</f>
        <v/>
      </c>
      <c r="AR27" s="14">
        <f>AQ27+AR26</f>
        <v/>
      </c>
      <c r="AS27" s="14">
        <f>AR27+AS26</f>
        <v/>
      </c>
      <c r="AT27" s="14">
        <f>AS27+AT26</f>
        <v/>
      </c>
      <c r="AU27" s="14">
        <f>AT27+AU26</f>
        <v/>
      </c>
      <c r="AV27" s="14">
        <f>AU27+AV26</f>
        <v/>
      </c>
      <c r="AW27" s="14">
        <f>AV27+AW26</f>
        <v/>
      </c>
      <c r="AX27" s="14">
        <f>AW27+AX26</f>
        <v/>
      </c>
      <c r="AY27" s="14">
        <f>AX27+AY26</f>
        <v/>
      </c>
      <c r="AZ27" s="14">
        <f>AY27+AZ26</f>
        <v/>
      </c>
      <c r="BA27" s="14">
        <f>AZ27+BA26</f>
        <v/>
      </c>
      <c r="BB27" s="14">
        <f>BA27+BB26</f>
        <v/>
      </c>
      <c r="BC27" s="14">
        <f>BB27+BC26</f>
        <v/>
      </c>
      <c r="BD27" s="14">
        <f>BC27+BD26</f>
        <v/>
      </c>
      <c r="BE27" s="14">
        <f>BD27+BE26</f>
        <v/>
      </c>
      <c r="BF27" s="14">
        <f>BE27+BF26</f>
        <v/>
      </c>
      <c r="BG27" s="14">
        <f>BF27+BG26</f>
        <v/>
      </c>
      <c r="BH27" s="14">
        <f>BG27+BH26</f>
        <v/>
      </c>
      <c r="BI27" s="14">
        <f>BH27+BI26</f>
        <v/>
      </c>
      <c r="BJ27" s="13">
        <f>BI27+BJ26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標準シナリオの感度分析(Python計算値。前提条件を変えても自動更新されません)</t>
        </is>
      </c>
    </row>
    <row r="3">
      <c r="A3" s="5" t="inlineStr">
        <is>
          <t>月次黒字化する月(60か月以内)</t>
        </is>
      </c>
    </row>
    <row r="4">
      <c r="A4" s="3" t="inlineStr">
        <is>
          <t>月次解約率 \ 新規獲得ペース(標準比)</t>
        </is>
      </c>
      <c r="B4" s="3" t="inlineStr">
        <is>
          <t>×0.5</t>
        </is>
      </c>
      <c r="C4" s="3" t="inlineStr">
        <is>
          <t>×0.75</t>
        </is>
      </c>
      <c r="D4" s="3" t="inlineStr">
        <is>
          <t>×1.0</t>
        </is>
      </c>
      <c r="E4" s="3" t="inlineStr">
        <is>
          <t>×1.25</t>
        </is>
      </c>
      <c r="F4" s="3" t="inlineStr">
        <is>
          <t>×1.5</t>
        </is>
      </c>
    </row>
    <row r="5">
      <c r="A5" t="inlineStr">
        <is>
          <t>2.0%</t>
        </is>
      </c>
      <c r="B5" t="n">
        <v>37</v>
      </c>
      <c r="C5" t="n">
        <v>32</v>
      </c>
      <c r="D5" t="n">
        <v>24</v>
      </c>
      <c r="E5" t="n">
        <v>21</v>
      </c>
      <c r="F5" t="n">
        <v>20</v>
      </c>
    </row>
    <row r="6">
      <c r="A6" t="inlineStr">
        <is>
          <t>3.5%</t>
        </is>
      </c>
      <c r="B6" t="n">
        <v>40</v>
      </c>
      <c r="C6" t="n">
        <v>33</v>
      </c>
      <c r="D6" t="n">
        <v>30</v>
      </c>
      <c r="E6" t="n">
        <v>22</v>
      </c>
      <c r="F6" t="n">
        <v>21</v>
      </c>
    </row>
    <row r="7">
      <c r="A7" t="inlineStr">
        <is>
          <t>5.0%</t>
        </is>
      </c>
      <c r="B7" t="n">
        <v>45</v>
      </c>
      <c r="C7" t="n">
        <v>35</v>
      </c>
      <c r="D7" t="n">
        <v>33</v>
      </c>
      <c r="E7" t="n">
        <v>23</v>
      </c>
      <c r="F7" t="n">
        <v>22</v>
      </c>
    </row>
    <row r="8">
      <c r="A8" t="inlineStr">
        <is>
          <t>7.0%</t>
        </is>
      </c>
      <c r="B8" t="inlineStr">
        <is>
          <t>未達</t>
        </is>
      </c>
      <c r="C8" t="n">
        <v>40</v>
      </c>
      <c r="D8" t="n">
        <v>36</v>
      </c>
      <c r="E8" t="n">
        <v>33</v>
      </c>
      <c r="F8" t="n">
        <v>24</v>
      </c>
    </row>
    <row r="10">
      <c r="A10" s="5" t="inlineStr">
        <is>
          <t>必要資金の目安(万円)</t>
        </is>
      </c>
    </row>
    <row r="11">
      <c r="A11" s="3" t="inlineStr">
        <is>
          <t>月次解約率 \ 新規獲得ペース(標準比)</t>
        </is>
      </c>
      <c r="B11" s="3" t="inlineStr">
        <is>
          <t>×0.5</t>
        </is>
      </c>
      <c r="C11" s="3" t="inlineStr">
        <is>
          <t>×0.75</t>
        </is>
      </c>
      <c r="D11" s="3" t="inlineStr">
        <is>
          <t>×1.0</t>
        </is>
      </c>
      <c r="E11" s="3" t="inlineStr">
        <is>
          <t>×1.25</t>
        </is>
      </c>
      <c r="F11" s="3" t="inlineStr">
        <is>
          <t>×1.5</t>
        </is>
      </c>
    </row>
    <row r="12">
      <c r="A12" t="inlineStr">
        <is>
          <t>2.0%</t>
        </is>
      </c>
      <c r="B12" t="n">
        <v>5089</v>
      </c>
      <c r="C12" t="n">
        <v>3769</v>
      </c>
      <c r="D12" t="n">
        <v>3303</v>
      </c>
      <c r="E12" t="n">
        <v>2765</v>
      </c>
      <c r="F12" t="n">
        <v>2731</v>
      </c>
    </row>
    <row r="13">
      <c r="A13" t="inlineStr">
        <is>
          <t>3.5%</t>
        </is>
      </c>
      <c r="B13" t="n">
        <v>5589</v>
      </c>
      <c r="C13" t="n">
        <v>4136</v>
      </c>
      <c r="D13" t="n">
        <v>3656</v>
      </c>
      <c r="E13" t="n">
        <v>3134</v>
      </c>
      <c r="F13" t="n">
        <v>2864</v>
      </c>
    </row>
    <row r="14">
      <c r="A14" t="inlineStr">
        <is>
          <t>5.0%</t>
        </is>
      </c>
      <c r="B14" t="n">
        <v>6266</v>
      </c>
      <c r="C14" t="n">
        <v>4534</v>
      </c>
      <c r="D14" t="n">
        <v>4067</v>
      </c>
      <c r="E14" t="n">
        <v>3537</v>
      </c>
      <c r="F14" t="n">
        <v>3268</v>
      </c>
    </row>
    <row r="15">
      <c r="A15" t="inlineStr">
        <is>
          <t>7.0%</t>
        </is>
      </c>
      <c r="B15" t="n">
        <v>7883</v>
      </c>
      <c r="C15" t="n">
        <v>5224</v>
      </c>
      <c r="D15" t="n">
        <v>4649</v>
      </c>
      <c r="E15" t="n">
        <v>4075</v>
      </c>
      <c r="F15" t="n">
        <v>3848</v>
      </c>
    </row>
    <row r="17">
      <c r="A17" s="5" t="inlineStr">
        <is>
          <t>5年目の営業利益(万円)</t>
        </is>
      </c>
    </row>
    <row r="18">
      <c r="A18" s="3" t="inlineStr">
        <is>
          <t>月次解約率 \ 新規獲得ペース(標準比)</t>
        </is>
      </c>
      <c r="B18" s="3" t="inlineStr">
        <is>
          <t>×0.5</t>
        </is>
      </c>
      <c r="C18" s="3" t="inlineStr">
        <is>
          <t>×0.75</t>
        </is>
      </c>
      <c r="D18" s="3" t="inlineStr">
        <is>
          <t>×1.0</t>
        </is>
      </c>
      <c r="E18" s="3" t="inlineStr">
        <is>
          <t>×1.25</t>
        </is>
      </c>
      <c r="F18" s="3" t="inlineStr">
        <is>
          <t>×1.5</t>
        </is>
      </c>
    </row>
    <row r="19">
      <c r="A19" t="inlineStr">
        <is>
          <t>2.0%</t>
        </is>
      </c>
      <c r="B19" t="n">
        <v>3345</v>
      </c>
      <c r="C19" t="n">
        <v>6743</v>
      </c>
      <c r="D19" t="n">
        <v>10141</v>
      </c>
      <c r="E19" t="n">
        <v>13539</v>
      </c>
      <c r="F19" t="n">
        <v>16972</v>
      </c>
    </row>
    <row r="20">
      <c r="A20" t="inlineStr">
        <is>
          <t>3.5%</t>
        </is>
      </c>
      <c r="B20" t="n">
        <v>1679</v>
      </c>
      <c r="C20" t="n">
        <v>4366</v>
      </c>
      <c r="D20" t="n">
        <v>6984</v>
      </c>
      <c r="E20" t="n">
        <v>9566</v>
      </c>
      <c r="F20" t="n">
        <v>12184</v>
      </c>
    </row>
    <row r="21">
      <c r="A21" t="inlineStr">
        <is>
          <t>5.0%</t>
        </is>
      </c>
      <c r="B21" t="n">
        <v>706</v>
      </c>
      <c r="C21" t="n">
        <v>2732</v>
      </c>
      <c r="D21" t="n">
        <v>4758</v>
      </c>
      <c r="E21" t="n">
        <v>6784</v>
      </c>
      <c r="F21" t="n">
        <v>8809</v>
      </c>
    </row>
    <row r="22">
      <c r="A22" t="inlineStr">
        <is>
          <t>7.0%</t>
        </is>
      </c>
      <c r="B22" t="n">
        <v>-465</v>
      </c>
      <c r="C22" t="n">
        <v>941</v>
      </c>
      <c r="D22" t="n">
        <v>2487</v>
      </c>
      <c r="E22" t="n">
        <v>4172</v>
      </c>
      <c r="F22" t="n">
        <v>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2026-10-15T18:08:16Z</dcterms:created>
  <dcterms:modified xmlns:dcterms="http://purl.org/dc/terms/" xmlns:xsi="http://www.w3.org/2001/XMLSchema-instance" xsi:type="dcterms:W3CDTF">2026-10-15T18:08:16Z</dcterms:modified>
</cp:coreProperties>
</file>